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A Catalog" sheetId="1" state="visible" r:id="rId2"/>
    <sheet name="5 Whys Analysis" sheetId="2" state="visible" r:id="rId3"/>
    <sheet name="Fishbone Analysis" sheetId="3" state="visible" r:id="rId4"/>
    <sheet name="Preventive Actions" sheetId="4" state="visible" r:id="rId5"/>
    <sheet name="RCA Template" sheetId="5" state="visible" r:id="rId6"/>
    <sheet name="Summary Statistics" sheetId="6" state="visible" r:id="rId7"/>
  </sheets>
  <definedNames>
    <definedName function="false" hidden="true" localSheetId="3" name="_xlnm._FilterDatabase" vbProcedure="false">'Preventive Actions'!$A$1:$J$46</definedName>
    <definedName function="false" hidden="true" localSheetId="0" name="_xlnm._FilterDatabase" vbProcedure="false">'RCA Catalog'!$A$1:$L$16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<sst xmlns="http://schemas.openxmlformats.org/spreadsheetml/2006/main" count="825" uniqueCount="551">
  <si>
    <t xml:space="preserve">RCA ID</t>
  </si>
  <si>
    <t xml:space="preserve">Incident Title</t>
  </si>
  <si>
    <t xml:space="preserve">Category</t>
  </si>
  <si>
    <t xml:space="preserve">Severity</t>
  </si>
  <si>
    <t xml:space="preserve">Date Identified</t>
  </si>
  <si>
    <t xml:space="preserve">Affected System</t>
  </si>
  <si>
    <t xml:space="preserve">Impact Description</t>
  </si>
  <si>
    <t xml:space="preserve">Root Cause Summary</t>
  </si>
  <si>
    <t xml:space="preserve">RCA Methodology</t>
  </si>
  <si>
    <t xml:space="preserve">Status</t>
  </si>
  <si>
    <t xml:space="preserve">Owner</t>
  </si>
  <si>
    <t xml:space="preserve">Days to Resolve</t>
  </si>
  <si>
    <t xml:space="preserve">RCA-001</t>
  </si>
  <si>
    <t xml:space="preserve">EHR System Outage During Peak Hours</t>
  </si>
  <si>
    <t xml:space="preserve">Application</t>
  </si>
  <si>
    <t xml:space="preserve">Critical</t>
  </si>
  <si>
    <t xml:space="preserve">2025-09-12</t>
  </si>
  <si>
    <t xml:space="preserve">Epic EHR</t>
  </si>
  <si>
    <t xml:space="preserve">Complete EHR downtime for 3 hours affecting 450+ clinicians; patient care delays in ED and ICU</t>
  </si>
  <si>
    <t xml:space="preserve">Database connection pool exhaustion due to unoptimized query from recent patch deployment</t>
  </si>
  <si>
    <t xml:space="preserve">5 Whys + Fishbone</t>
  </si>
  <si>
    <t xml:space="preserve">Closed</t>
  </si>
  <si>
    <t xml:space="preserve">Dr. S. Patel</t>
  </si>
  <si>
    <t xml:space="preserve">RCA-002</t>
  </si>
  <si>
    <t xml:space="preserve">HL7 Interface Engine Message Backlog</t>
  </si>
  <si>
    <t xml:space="preserve">Integration</t>
  </si>
  <si>
    <t xml:space="preserve">High</t>
  </si>
  <si>
    <t xml:space="preserve">2025-09-28</t>
  </si>
  <si>
    <t xml:space="preserve">Rhapsody Interface Engine</t>
  </si>
  <si>
    <t xml:space="preserve">12,000+ HL7 messages queued; lab results delayed 4+ hours across 3 hospitals</t>
  </si>
  <si>
    <t xml:space="preserve">Memory leak in HL7 parser module after upgrade to v6.2; garbage collection unable to reclaim heap</t>
  </si>
  <si>
    <t xml:space="preserve">J. Williams</t>
  </si>
  <si>
    <t xml:space="preserve">RCA-003</t>
  </si>
  <si>
    <t xml:space="preserve">PACS Image Retrieval Failure</t>
  </si>
  <si>
    <t xml:space="preserve">Infrastructure</t>
  </si>
  <si>
    <t xml:space="preserve">2025-10-05</t>
  </si>
  <si>
    <t xml:space="preserve">GE Centricity PACS</t>
  </si>
  <si>
    <t xml:space="preserve">Radiology unable to retrieve prior imaging studies; 85 diagnostic delays reported</t>
  </si>
  <si>
    <t xml:space="preserve">SAN storage controller firmware bug caused intermittent I/O errors on PACS archive LUNs</t>
  </si>
  <si>
    <t xml:space="preserve">M. Chen</t>
  </si>
  <si>
    <t xml:space="preserve">RCA-004</t>
  </si>
  <si>
    <t xml:space="preserve">Patient Portal Authentication Bypass Vulnerability</t>
  </si>
  <si>
    <t xml:space="preserve">Security</t>
  </si>
  <si>
    <t xml:space="preserve">2025-10-18</t>
  </si>
  <si>
    <t xml:space="preserve">MyChart Patient Portal</t>
  </si>
  <si>
    <t xml:space="preserve">Security scan revealed authentication bypass allowing unauthorized PHI access; zero confirmed exploits</t>
  </si>
  <si>
    <t xml:space="preserve">Improper session token validation in OAuth2 callback handler; tokens not expiring after password change</t>
  </si>
  <si>
    <t xml:space="preserve">R. Johnson</t>
  </si>
  <si>
    <t xml:space="preserve">RCA-005</t>
  </si>
  <si>
    <t xml:space="preserve">Medication Dispensing Cabinet Network Failure</t>
  </si>
  <si>
    <t xml:space="preserve">Network</t>
  </si>
  <si>
    <t xml:space="preserve">2025-11-02</t>
  </si>
  <si>
    <t xml:space="preserve">Omnicell ADC Cabinets</t>
  </si>
  <si>
    <t xml:space="preserve">32 Pyxis/Omnicell cabinets offline across 2 campuses; manual medication dispensing for 6 hours</t>
  </si>
  <si>
    <t xml:space="preserve">VLAN misconfiguration during network switch replacement; DHCP scope conflict on biomedical device subnet</t>
  </si>
  <si>
    <t xml:space="preserve">A. Rodriguez</t>
  </si>
  <si>
    <t xml:space="preserve">RCA-006</t>
  </si>
  <si>
    <t xml:space="preserve">Clinical Decision Support Alert Fatigue</t>
  </si>
  <si>
    <t xml:space="preserve">Medium</t>
  </si>
  <si>
    <t xml:space="preserve">2025-11-15</t>
  </si>
  <si>
    <t xml:space="preserve">Epic CDS Module</t>
  </si>
  <si>
    <t xml:space="preserve">92% alert override rate detected; 3 near-miss medication events traced to alert desensitization</t>
  </si>
  <si>
    <t xml:space="preserve">Excessive low-value CDS alerts (1,200+/day per provider) due to overly broad rule configuration post-upgrade</t>
  </si>
  <si>
    <t xml:space="preserve">Dr. L. Thompson</t>
  </si>
  <si>
    <t xml:space="preserve">RCA-007</t>
  </si>
  <si>
    <t xml:space="preserve">Backup Failure for Cerner Database</t>
  </si>
  <si>
    <t xml:space="preserve">2025-11-28</t>
  </si>
  <si>
    <t xml:space="preserve">Cerner Millennium DB</t>
  </si>
  <si>
    <t xml:space="preserve">14 consecutive backup failures undetected; RPO violation of 72+ hours discovered during DR drill</t>
  </si>
  <si>
    <t xml:space="preserve">Backup agent license expired silently; monitoring alert routed to decommissioned email distribution list</t>
  </si>
  <si>
    <t xml:space="preserve">K. Nguyen</t>
  </si>
  <si>
    <t xml:space="preserve">RCA-008</t>
  </si>
  <si>
    <t xml:space="preserve">Telehealth Platform Latency Spike</t>
  </si>
  <si>
    <t xml:space="preserve">2025-12-10</t>
  </si>
  <si>
    <t xml:space="preserve">Amwell Telehealth</t>
  </si>
  <si>
    <t xml:space="preserve">Video consultations experiencing 5+ second latency; 40% patient dropout rate during peak hours</t>
  </si>
  <si>
    <t xml:space="preserve">CDN provider capacity issue in US-East region compounded by unoptimized video transcoding settings</t>
  </si>
  <si>
    <t xml:space="preserve">P. Sharma</t>
  </si>
  <si>
    <t xml:space="preserve">RCA-009</t>
  </si>
  <si>
    <t xml:space="preserve">PHI Data Breach via Misconfigured SFTP</t>
  </si>
  <si>
    <t xml:space="preserve">2025-12-22</t>
  </si>
  <si>
    <t xml:space="preserve">SFTP File Transfer Server</t>
  </si>
  <si>
    <t xml:space="preserve">1,247 patient records exposed on publicly accessible SFTP directory for 48 hours</t>
  </si>
  <si>
    <t xml:space="preserve">Junior admin created SFTP directory with world-readable permissions; no automated compliance scan on file shares</t>
  </si>
  <si>
    <t xml:space="preserve">RCA-010</t>
  </si>
  <si>
    <t xml:space="preserve">Nurse Call System Integration Failure</t>
  </si>
  <si>
    <t xml:space="preserve">2026-01-08</t>
  </si>
  <si>
    <t xml:space="preserve">Hill-Rom Nurse Call + EHR</t>
  </si>
  <si>
    <t xml:space="preserve">Nurse call events not flowing to EHR for 5 nursing units; manual documentation workaround required</t>
  </si>
  <si>
    <t xml:space="preserve">TLS certificate expired on middleware server; auto-renewal job disabled during server migration 6 months prior</t>
  </si>
  <si>
    <t xml:space="preserve">RCA-011</t>
  </si>
  <si>
    <t xml:space="preserve">Blood Bank Refrigerator Monitoring Alert Failure</t>
  </si>
  <si>
    <t xml:space="preserve">IoT/Biomedical</t>
  </si>
  <si>
    <t xml:space="preserve">2026-01-15</t>
  </si>
  <si>
    <t xml:space="preserve">Tempus IC Monitoring</t>
  </si>
  <si>
    <t xml:space="preserve">Temperature excursion in blood bank refrigerator undetected for 3 hours; 45 units of blood products quarantined</t>
  </si>
  <si>
    <t xml:space="preserve">IoT gateway firmware update overwrote custom SNMP trap configuration; alerting threshold reverted to factory defaults</t>
  </si>
  <si>
    <t xml:space="preserve">In Progress</t>
  </si>
  <si>
    <t xml:space="preserve">RCA-012</t>
  </si>
  <si>
    <t xml:space="preserve">Surgical Scheduling Double-Booking Defect</t>
  </si>
  <si>
    <t xml:space="preserve">2026-01-22</t>
  </si>
  <si>
    <t xml:space="preserve">Epic OpTime</t>
  </si>
  <si>
    <t xml:space="preserve">17 OR double-bookings in one week; 4 surgical delays and 2 cancellations resulting in patient harm complaints</t>
  </si>
  <si>
    <t xml:space="preserve">Race condition in concurrent booking API when two schedulers submit within 200ms window; locking mechanism insufficient</t>
  </si>
  <si>
    <t xml:space="preserve">RCA-013</t>
  </si>
  <si>
    <t xml:space="preserve">Active Directory Sync Failure with HR System</t>
  </si>
  <si>
    <t xml:space="preserve">Identity</t>
  </si>
  <si>
    <t xml:space="preserve">2026-01-30</t>
  </si>
  <si>
    <t xml:space="preserve">Azure AD Connect + Workday</t>
  </si>
  <si>
    <t xml:space="preserve">New hires unable to access clinical systems for 48+ hours; 23 clinicians affected during onboarding week</t>
  </si>
  <si>
    <t xml:space="preserve">Workday API schema change in January update broke AD Connect attribute mapping; no pre-prod validation of HR feed</t>
  </si>
  <si>
    <t xml:space="preserve">RCA-014</t>
  </si>
  <si>
    <t xml:space="preserve">Pharmacy Order Interface Duplicate Orders</t>
  </si>
  <si>
    <t xml:space="preserve">2026-02-03</t>
  </si>
  <si>
    <t xml:space="preserve">Epic-Omnicell Interface</t>
  </si>
  <si>
    <t xml:space="preserve">Duplicate medication orders sent to pharmacy system; 8 near-miss dispensing events caught by pharmacist review</t>
  </si>
  <si>
    <t xml:space="preserve">Message acknowledgment timeout set too low (2s); interface engine retransmitting before Omnicell could respond</t>
  </si>
  <si>
    <t xml:space="preserve">Open</t>
  </si>
  <si>
    <t xml:space="preserve">RCA-015</t>
  </si>
  <si>
    <t xml:space="preserve">Disaster Recovery Failover Test Failure</t>
  </si>
  <si>
    <t xml:space="preserve">2026-02-08</t>
  </si>
  <si>
    <t xml:space="preserve">DR Site — Azure East US 2</t>
  </si>
  <si>
    <t xml:space="preserve">Annual DR failover test failed; RTO exceeded target by 4 hours; clinical apps not accessible at DR site</t>
  </si>
  <si>
    <t xml:space="preserve">DNS failover records stale; 6 clinical app endpoints still pointing to decommissioned primary IPs; runbook outdated</t>
  </si>
  <si>
    <t xml:space="preserve">Why #1</t>
  </si>
  <si>
    <t xml:space="preserve">Why #2</t>
  </si>
  <si>
    <t xml:space="preserve">Why #3</t>
  </si>
  <si>
    <t xml:space="preserve">Why #4</t>
  </si>
  <si>
    <t xml:space="preserve">Why #5 (Root Cause)</t>
  </si>
  <si>
    <t xml:space="preserve">Why did the EHR go down? → Database connections were fully exhausted</t>
  </si>
  <si>
    <t xml:space="preserve">Why were connections exhausted? → A new query from patch v12.3 was holding connections 10x longer than normal</t>
  </si>
  <si>
    <t xml:space="preserve">Why was this query deployed? → It passed QA in a low-volume test environment that didn't simulate peak load</t>
  </si>
  <si>
    <t xml:space="preserve">Why wasn't peak load simulated? → Performance testing environment lacks production-scale data (only 5% of prod volume)</t>
  </si>
  <si>
    <t xml:space="preserve">ROOT CAUSE: No production-scale performance testing gate in the release pipeline; change management did not require load testing for database-impacting patches</t>
  </si>
  <si>
    <t xml:space="preserve">Why did messages back up? → Interface engine processing threads were unresponsive</t>
  </si>
  <si>
    <t xml:space="preserve">Why were threads unresponsive? → JVM heap memory was fully consumed, triggering constant GC cycles</t>
  </si>
  <si>
    <t xml:space="preserve">Why was heap consumed? → HL7 parser module v6.2 introduced a memory leak in ADT message parsing</t>
  </si>
  <si>
    <t xml:space="preserve">Why wasn't the leak caught? → Upgrade was tested for functional correctness only, no memory profiling performed</t>
  </si>
  <si>
    <t xml:space="preserve">ROOT CAUSE: Vendor upgrade validation process lacks memory and performance profiling; no heap monitoring alerts configured for the interface engine JVM</t>
  </si>
  <si>
    <t xml:space="preserve">Why couldn't images be retrieved? → Storage I/O errors on the PACS archive LUNs</t>
  </si>
  <si>
    <t xml:space="preserve">Why were there I/O errors? → SAN storage controller was intermittently dropping read requests</t>
  </si>
  <si>
    <t xml:space="preserve">Why was the controller dropping requests? → Firmware bug in version 8.4.1 caused cache coherency failures under high read load</t>
  </si>
  <si>
    <t xml:space="preserve">Why was this firmware version in production? → Vendor advisory was issued but categorized as 'low priority' by storage team</t>
  </si>
  <si>
    <t xml:space="preserve">ROOT CAUSE: No automated vendor advisory triage process; firmware patching SLA not enforced for clinical-critical storage infrastructure</t>
  </si>
  <si>
    <t xml:space="preserve">Patient Portal Authentication Bypass</t>
  </si>
  <si>
    <t xml:space="preserve">Why could authentication be bypassed? → Session tokens remained valid after password changes</t>
  </si>
  <si>
    <t xml:space="preserve">Why weren't tokens invalidated? → OAuth2 callback handler did not check token issuance timestamp against last password change</t>
  </si>
  <si>
    <t xml:space="preserve">Why was this check missing? → Original auth module was custom-built without following OWASP session management guidelines</t>
  </si>
  <si>
    <t xml:space="preserve">Why weren't OWASP guidelines followed? → Security code review was not part of the SDLC for portal development</t>
  </si>
  <si>
    <t xml:space="preserve">ROOT CAUSE: Absence of mandatory security code review in the software development lifecycle; no automated SAST/DAST scanning in CI/CD pipeline for patient-facing applications</t>
  </si>
  <si>
    <t xml:space="preserve">Medication Cabinet Network Failure</t>
  </si>
  <si>
    <t xml:space="preserve">Why did the cabinets go offline? → Cabinets lost their IP addresses and couldn't reach the server</t>
  </si>
  <si>
    <t xml:space="preserve">Why did they lose IPs? → DHCP scope for the biomedical VLAN was conflicting with the new switch configuration</t>
  </si>
  <si>
    <t xml:space="preserve">Why was there a conflict? → Network engineer copied the switch config template without adjusting VLAN assignments for the biomedical subnet</t>
  </si>
  <si>
    <t xml:space="preserve">Why wasn't this caught? → No pre-implementation network validation checklist exists for biomedical device VLANs</t>
  </si>
  <si>
    <t xml:space="preserve">ROOT CAUSE: Change management process lacks a mandatory biomedical network impact assessment; no automated VLAN conflict detection in network change workflow</t>
  </si>
  <si>
    <t xml:space="preserve">Why are clinicians overriding 92% of alerts? → Most alerts are perceived as non-actionable or irrelevant to clinical context</t>
  </si>
  <si>
    <t xml:space="preserve">Why are alerts irrelevant? → CDS rules were configured with overly broad trigger criteria after the Epic upgrade</t>
  </si>
  <si>
    <t xml:space="preserve">Why were rules configured broadly? → Pharmacy committee applied conservative settings 'to be safe' without clinician workflow input</t>
  </si>
  <si>
    <t xml:space="preserve">Why was there no clinician input? → CDS governance committee had not met in 8 months; no formal tuning process exists</t>
  </si>
  <si>
    <t xml:space="preserve">ROOT CAUSE: Lack of ongoing CDS governance and alert tuning lifecycle; no feedback loop between clinician override data and rule optimization</t>
  </si>
  <si>
    <t xml:space="preserve">Why did backups fail for 14 days? → Backup agent reported license expiration and stopped all jobs</t>
  </si>
  <si>
    <t xml:space="preserve">Why wasn't the failure detected? → Monitoring alert was configured to email a distribution list that was decommissioned</t>
  </si>
  <si>
    <t xml:space="preserve">Why was the DL decommissioned? → IT reorganization 4 months prior moved the DBA team; DL migration was incomplete</t>
  </si>
  <si>
    <t xml:space="preserve">Why was DL migration incomplete? → No centralized inventory of alert notification targets exists</t>
  </si>
  <si>
    <t xml:space="preserve">ROOT CAUSE: No automated validation of monitoring alert delivery paths; alert notification audit not included in organizational change management procedures</t>
  </si>
  <si>
    <t xml:space="preserve">Why was there 5+ second latency? → Video packets were being routed through a degraded CDN edge node</t>
  </si>
  <si>
    <t xml:space="preserve">Why was the edge node degraded? → CDN provider had a capacity issue in US-East region during peak telehealth hours</t>
  </si>
  <si>
    <t xml:space="preserve">Why did this affect us so severely? → Video transcoding was set to highest quality with no adaptive bitrate fallback</t>
  </si>
  <si>
    <t xml:space="preserve">Why was there no adaptive bitrate? → Platform was deployed with default settings; optimization was deferred post-go-live</t>
  </si>
  <si>
    <t xml:space="preserve">ROOT CAUSE: Telehealth platform deployed without performance optimization; no CDN failover or adaptive streaming configured; missing SLA monitoring for third-party service dependencies</t>
  </si>
  <si>
    <t xml:space="preserve">Why was PHI exposed? → SFTP directory containing patient files had world-readable (777) permissions</t>
  </si>
  <si>
    <t xml:space="preserve">Why were permissions set incorrectly? → Junior admin created the directory manually without following the secure file share SOP</t>
  </si>
  <si>
    <t xml:space="preserve">Why wasn't the SOP followed? → Admin was not trained on PHI data handling procedures; onboarding checklist was incomplete</t>
  </si>
  <si>
    <t xml:space="preserve">Why was onboarding incomplete? → Security training module for file server administration was marked 'optional'</t>
  </si>
  <si>
    <t xml:space="preserve">ROOT CAUSE: No automated compliance scanning for file share permissions; security training for PHI handling not mandatory for all infrastructure staff; missing preventive access control (default-deny)</t>
  </si>
  <si>
    <t xml:space="preserve">Why did nurse call events stop flowing? → Middleware server rejected all inbound connections from Hill-Rom system</t>
  </si>
  <si>
    <t xml:space="preserve">Why did the server reject connections? → TLS certificate on the middleware had expired</t>
  </si>
  <si>
    <t xml:space="preserve">Why did the certificate expire? → Auto-renewal job was disabled 6 months ago during server migration</t>
  </si>
  <si>
    <t xml:space="preserve">Why wasn't this tracked? → Certificate inventory spreadsheet was not updated after migration; no automated cert monitoring</t>
  </si>
  <si>
    <t xml:space="preserve">ROOT CAUSE: No centralized certificate lifecycle management tool; manual tracking of TLS certificates is error-prone and not audited during infrastructure changes</t>
  </si>
  <si>
    <t xml:space="preserve">Why was the temperature excursion undetected? → SNMP trap alerting was not firing for the blood bank sensors</t>
  </si>
  <si>
    <t xml:space="preserve">Why weren't SNMP traps firing? → Custom trap configuration was overwritten during IoT gateway firmware update</t>
  </si>
  <si>
    <t xml:space="preserve">Why was custom config overwritten? → Firmware update process did not include a config backup/restore step</t>
  </si>
  <si>
    <t xml:space="preserve">Why was there no backup step? → Vendor's update utility resets to factory defaults by design; no pre-update SOP exists internally</t>
  </si>
  <si>
    <t xml:space="preserve">ROOT CAUSE: No configuration backup procedure for IoT/biomedical device firmware updates; vendor firmware update behavior not documented or accounted for in change management</t>
  </si>
  <si>
    <t xml:space="preserve">Why were ORs double-booked? → Two schedulers submitted bookings for the same slot within milliseconds</t>
  </si>
  <si>
    <t xml:space="preserve">Why did the system allow this? → The booking API uses optimistic locking with insufficient conflict detection window</t>
  </si>
  <si>
    <t xml:space="preserve">Why is the locking insufficient? → Original design assumed sequential access; concurrent API calls were not load-tested</t>
  </si>
  <si>
    <t xml:space="preserve">Why wasn't concurrency tested? → Performance test cases focus on throughput, not on race condition scenarios</t>
  </si>
  <si>
    <t xml:space="preserve">ROOT CAUSE: Application lacks pessimistic locking or serialized queue for critical resource booking; test strategy does not include concurrency/race condition test scenarios for scheduling APIs</t>
  </si>
  <si>
    <t xml:space="preserve">Why couldn't new hires access systems? → Their AD accounts were not provisioned automatically</t>
  </si>
  <si>
    <t xml:space="preserve">Why weren't accounts provisioned? → AD Connect sync job was failing silently since the January Workday update</t>
  </si>
  <si>
    <t xml:space="preserve">Why was it failing? → Workday changed API schema for employee attributes; AD Connect attribute mapping broke</t>
  </si>
  <si>
    <t xml:space="preserve">Why wasn't this caught before production? → No pre-production validation environment mirrors the Workday-to-AD feed</t>
  </si>
  <si>
    <t xml:space="preserve">ROOT CAUSE: No staging environment for HR-to-IAM integration testing; Workday API change notifications not monitored or included in change impact assessment</t>
  </si>
  <si>
    <t xml:space="preserve">Why were duplicate orders sent? → Interface engine retransmitted messages that were actually received by Omnicell</t>
  </si>
  <si>
    <t xml:space="preserve">Why did retransmission occur? → ACK timeout was set to 2 seconds, but Omnicell processing takes 3-5 seconds under load</t>
  </si>
  <si>
    <t xml:space="preserve">Why was the timeout set to 2 seconds? → Default value was used during initial interface configuration and never tuned</t>
  </si>
  <si>
    <t xml:space="preserve">Why was it never tuned? → No post-go-live interface performance review process exists; SLA for message acknowledgment undefined</t>
  </si>
  <si>
    <t xml:space="preserve">ROOT CAUSE: Interface engine timeout not tuned to receiving system performance characteristics; no post-implementation performance baseline or ongoing SLA monitoring for clinical interfaces</t>
  </si>
  <si>
    <t xml:space="preserve">Why did DR failover fail? → Clinical applications could not resolve to DR site endpoints</t>
  </si>
  <si>
    <t xml:space="preserve">Why couldn't they resolve? → DNS failover records were pointing to decommissioned primary datacenter IPs</t>
  </si>
  <si>
    <t xml:space="preserve">Why were DNS records stale? → DR runbook was last updated 18 months ago; decommissioned IPs never removed</t>
  </si>
  <si>
    <t xml:space="preserve">Why wasn't the runbook updated? → No mandatory DR runbook review cycle tied to infrastructure changes</t>
  </si>
  <si>
    <t xml:space="preserve">ROOT CAUSE: DR runbooks not maintained as living documents; no automated DNS failover validation; infrastructure decommissioning process does not include DR documentation update step</t>
  </si>
  <si>
    <t xml:space="preserve">People</t>
  </si>
  <si>
    <t xml:space="preserve">Process</t>
  </si>
  <si>
    <t xml:space="preserve">Technology</t>
  </si>
  <si>
    <t xml:space="preserve">Environment</t>
  </si>
  <si>
    <t xml:space="preserve">Materials/Data</t>
  </si>
  <si>
    <t xml:space="preserve">Management</t>
  </si>
  <si>
    <t xml:space="preserve">EHR System Outage</t>
  </si>
  <si>
    <t xml:space="preserve">DBA team understaffed; no on-call coverage during patch window</t>
  </si>
  <si>
    <t xml:space="preserve">No performance testing gate in change management; post-deployment validation skipped</t>
  </si>
  <si>
    <t xml:space="preserve">Query optimizer not tested against production data volumes; connection pool limits too low</t>
  </si>
  <si>
    <t xml:space="preserve">Peak census day (Monday AM); higher than average concurrent users</t>
  </si>
  <si>
    <t xml:space="preserve">Test data only 5% of production size; synthetic data lacks complexity</t>
  </si>
  <si>
    <t xml:space="preserve">No executive sponsor for performance testing program; budget for load testing tools declined</t>
  </si>
  <si>
    <t xml:space="preserve">HL7 Interface Backlog</t>
  </si>
  <si>
    <t xml:space="preserve">Integration engineer on PTO during upgrade; backup resource unfamiliar with Rhapsody</t>
  </si>
  <si>
    <t xml:space="preserve">Vendor upgrade process lacks memory profiling step; no rollback trigger defined</t>
  </si>
  <si>
    <t xml:space="preserve">JVM heap monitoring not configured; HL7 parser v6.2 memory leak</t>
  </si>
  <si>
    <t xml:space="preserve">High ADT volume during flu season increased message throughput 3x</t>
  </si>
  <si>
    <t xml:space="preserve">HL7 v2.5.1 ADT messages with large Z-segments consuming excess memory</t>
  </si>
  <si>
    <t xml:space="preserve">Interface engine maintenance window too short for thorough validation</t>
  </si>
  <si>
    <t xml:space="preserve">Storage team classified vendor advisory as low priority without clinical input</t>
  </si>
  <si>
    <t xml:space="preserve">No firmware patching SLA for clinical storage; vendor advisory triage not automated</t>
  </si>
  <si>
    <t xml:space="preserve">SAN controller firmware bug in v8.4.1; cache coherency failure under load</t>
  </si>
  <si>
    <t xml:space="preserve">End-of-quarter radiology volume surge increased I/O demands on PACS storage</t>
  </si>
  <si>
    <t xml:space="preserve">Large DICOM studies (CT/MRI) amplified the I/O issue; archive LUNs near capacity</t>
  </si>
  <si>
    <t xml:space="preserve">Storage infrastructure not classified as clinical-critical in asset management</t>
  </si>
  <si>
    <t xml:space="preserve">Patient Portal Auth Bypass</t>
  </si>
  <si>
    <t xml:space="preserve">Developer lacked OWASP training; no security champion assigned to portal team</t>
  </si>
  <si>
    <t xml:space="preserve">SDLC missing mandatory security code review; no SAST/DAST in CI/CD pipeline</t>
  </si>
  <si>
    <t xml:space="preserve">Custom OAuth2 handler; session tokens not tied to password change events</t>
  </si>
  <si>
    <t xml:space="preserve">Increased portal usage during open enrollment amplified exposure window</t>
  </si>
  <si>
    <t xml:space="preserve">OWASP session management guidelines not in developer knowledge base</t>
  </si>
  <si>
    <t xml:space="preserve">Security team not consulted during portal architecture design; no AppSec budget</t>
  </si>
  <si>
    <t xml:space="preserve">Network engineer unfamiliar with biomedical VLAN requirements; no peer review</t>
  </si>
  <si>
    <t xml:space="preserve">No biomedical impact assessment in network change management process</t>
  </si>
  <si>
    <t xml:space="preserve">VLAN conflict detection not automated; DHCP scope overlaps possible</t>
  </si>
  <si>
    <t xml:space="preserve">Switch replacement scheduled during shift change; biomedical team not available to verify</t>
  </si>
  <si>
    <t xml:space="preserve">Network config template missing biomedical subnet parameters</t>
  </si>
  <si>
    <t xml:space="preserve">Biomedical and network teams operate in silos; no joint change review board</t>
  </si>
  <si>
    <t xml:space="preserve">CDS Alert Fatigue</t>
  </si>
  <si>
    <t xml:space="preserve">Clinicians not consulted during CDS rule configuration; pharmacy-only decision</t>
  </si>
  <si>
    <t xml:space="preserve">No CDS governance lifecycle; alert tuning not scheduled; override data not reviewed</t>
  </si>
  <si>
    <t xml:space="preserve">Epic CDS engine lacks context-aware filtering; binary alert logic only</t>
  </si>
  <si>
    <t xml:space="preserve">Post-upgrade alert volume increased 4x; coincided with new resident onboarding</t>
  </si>
  <si>
    <t xml:space="preserve">Clinical evidence for alert thresholds outdated (2019 guidelines)</t>
  </si>
  <si>
    <t xml:space="preserve">CDS governance committee inactive for 8 months; no executive accountability for alert optimization</t>
  </si>
  <si>
    <t xml:space="preserve">Backup Failure — Cerner DB</t>
  </si>
  <si>
    <t xml:space="preserve">DBA team restructured; responsibilities unclear; no clear backup owner</t>
  </si>
  <si>
    <t xml:space="preserve">No monitoring alert delivery validation; decommissioned DL not caught in reorg</t>
  </si>
  <si>
    <t xml:space="preserve">Backup agent license expiration not monitored; silent failure mode</t>
  </si>
  <si>
    <t xml:space="preserve">IT reorganization created gaps in operational responsibilities</t>
  </si>
  <si>
    <t xml:space="preserve">License renewal calendar not maintained; vendor renewal notices sent to wrong contact</t>
  </si>
  <si>
    <t xml:space="preserve">Organizational change management did not include operational handoff checklist</t>
  </si>
  <si>
    <t xml:space="preserve">Telehealth Latency Spike</t>
  </si>
  <si>
    <t xml:space="preserve">Telehealth team lacked CDN/video optimization expertise during deployment</t>
  </si>
  <si>
    <t xml:space="preserve">No post-go-live performance optimization sprint; SLA monitoring not configured</t>
  </si>
  <si>
    <t xml:space="preserve">Default video transcoding settings; no adaptive bitrate; single CDN region</t>
  </si>
  <si>
    <t xml:space="preserve">US-East CDN capacity degraded during peak telehealth hours (11AM-2PM EST)</t>
  </si>
  <si>
    <t xml:space="preserve">Vendor documentation on adaptive streaming not reviewed during implementation</t>
  </si>
  <si>
    <t xml:space="preserve">Telehealth launch prioritized speed-to-market over performance engineering</t>
  </si>
  <si>
    <t xml:space="preserve">PHI Breach via SFTP</t>
  </si>
  <si>
    <t xml:space="preserve">Junior admin not trained on PHI handling; security training marked optional</t>
  </si>
  <si>
    <t xml:space="preserve">Secure file share SOP not enforced; no automated permission compliance scan</t>
  </si>
  <si>
    <t xml:space="preserve">No default-deny ACL on file shares; manual permission assignment</t>
  </si>
  <si>
    <t xml:space="preserve">End-of-year data exchange deadline created pressure to set up SFTP quickly</t>
  </si>
  <si>
    <t xml:space="preserve">PHI data classification labels not applied to files; no DLP scanning on SFTP</t>
  </si>
  <si>
    <t xml:space="preserve">Security onboarding training not mandatory for infrastructure staff; audit gap</t>
  </si>
  <si>
    <t xml:space="preserve">Nurse Call Integration Failure</t>
  </si>
  <si>
    <t xml:space="preserve">Middleware admin unaware cert auto-renewal was disabled during migration</t>
  </si>
  <si>
    <t xml:space="preserve">No certificate lifecycle management process; manual spreadsheet tracking</t>
  </si>
  <si>
    <t xml:space="preserve">TLS cert expired; auto-renewal disabled 6 months ago; no cert monitoring tool</t>
  </si>
  <si>
    <t xml:space="preserve">Server migration project 6 months prior created tech debt not tracked</t>
  </si>
  <si>
    <t xml:space="preserve">Certificate inventory not updated post-migration; no source of truth</t>
  </si>
  <si>
    <t xml:space="preserve">Infrastructure migration project closeout did not verify all operational dependencies</t>
  </si>
  <si>
    <t xml:space="preserve">Blood Bank Monitor Alert Failure</t>
  </si>
  <si>
    <t xml:space="preserve">Biomedical engineer did not verify alerting post-firmware update</t>
  </si>
  <si>
    <t xml:space="preserve">No config backup/restore step in firmware update SOP; no post-update checklist</t>
  </si>
  <si>
    <t xml:space="preserve">IoT gateway firmware resets to factory defaults; custom SNMP traps lost</t>
  </si>
  <si>
    <t xml:space="preserve">Blood bank refrigerator in older wing with limited IoT infrastructure redundancy</t>
  </si>
  <si>
    <t xml:space="preserve">Vendor documentation does not warn about config reset during update</t>
  </si>
  <si>
    <t xml:space="preserve">IoT device management not integrated into enterprise change management</t>
  </si>
  <si>
    <t xml:space="preserve">Surgical Double-Booking Defect</t>
  </si>
  <si>
    <t xml:space="preserve">Schedulers making rapid concurrent bookings during block release windows</t>
  </si>
  <si>
    <t xml:space="preserve">Concurrency/race condition testing not in QA test strategy</t>
  </si>
  <si>
    <t xml:space="preserve">Optimistic locking insufficient; no serialized queue for OR booking API</t>
  </si>
  <si>
    <t xml:space="preserve">Block time release at 7AM triggers simultaneous scheduling activity</t>
  </si>
  <si>
    <t xml:space="preserve">Test data does not simulate concurrent API call patterns</t>
  </si>
  <si>
    <t xml:space="preserve">Application architecture review did not assess concurrent access scenarios for critical resources</t>
  </si>
  <si>
    <t xml:space="preserve">AD Sync Failure with Workday</t>
  </si>
  <si>
    <t xml:space="preserve">Identity team not subscribed to Workday API change notifications</t>
  </si>
  <si>
    <t xml:space="preserve">No staging environment for HR-to-IAM integration; no pre-prod validation</t>
  </si>
  <si>
    <t xml:space="preserve">AD Connect attribute mapping hardcoded; not resilient to schema changes</t>
  </si>
  <si>
    <t xml:space="preserve">January Workday update coincided with large onboarding cohort</t>
  </si>
  <si>
    <t xml:space="preserve">Workday API changelog not reviewed before production sync cycle</t>
  </si>
  <si>
    <t xml:space="preserve">Vendor API change management not included in internal change impact assessment</t>
  </si>
  <si>
    <t xml:space="preserve">Pharmacy Duplicate Orders</t>
  </si>
  <si>
    <t xml:space="preserve">Interface analyst used default timeout without consulting Omnicell performance specs</t>
  </si>
  <si>
    <t xml:space="preserve">No post-go-live interface performance baseline; ACK SLA undefined</t>
  </si>
  <si>
    <t xml:space="preserve">2-second ACK timeout too low; Omnicell needs 3-5 seconds under peak load</t>
  </si>
  <si>
    <t xml:space="preserve">Pharmacy order volume peaks during morning med pass (6-8AM); timeout most likely to hit</t>
  </si>
  <si>
    <t xml:space="preserve">Omnicell system performance documentation not referenced during interface design</t>
  </si>
  <si>
    <t xml:space="preserve">No interface performance review cadence; clinical interface SLAs not established</t>
  </si>
  <si>
    <t xml:space="preserve">DR Failover Test Failure</t>
  </si>
  <si>
    <t xml:space="preserve">DR coordinator role vacant for 3 months; no interim coverage assigned</t>
  </si>
  <si>
    <t xml:space="preserve">DR runbook not updated with infrastructure changes; no mandatory review cycle</t>
  </si>
  <si>
    <t xml:space="preserve">DNS failover records stale; pointing to decommissioned IPs; no automated validation</t>
  </si>
  <si>
    <t xml:space="preserve">Primary datacenter decommissioned 6 months ago; DR was not retested post-decom</t>
  </si>
  <si>
    <t xml:space="preserve">Runbook documentation outdated (18 months); IP address inventory not current</t>
  </si>
  <si>
    <t xml:space="preserve">Decommissioning process does not mandate DR documentation updates; no DR governance board</t>
  </si>
  <si>
    <t xml:space="preserve">Action ID</t>
  </si>
  <si>
    <t xml:space="preserve">Preventive Action</t>
  </si>
  <si>
    <t xml:space="preserve">Action Type</t>
  </si>
  <si>
    <t xml:space="preserve">Priority</t>
  </si>
  <si>
    <t xml:space="preserve">Target Date</t>
  </si>
  <si>
    <t xml:space="preserve">Verification Method</t>
  </si>
  <si>
    <t xml:space="preserve">Notes</t>
  </si>
  <si>
    <t xml:space="preserve">PA-001</t>
  </si>
  <si>
    <t xml:space="preserve">Implement mandatory load testing gate in CI/CD pipeline for all database-impacting changes</t>
  </si>
  <si>
    <t xml:space="preserve">Preventive</t>
  </si>
  <si>
    <t xml:space="preserve">DevOps Lead</t>
  </si>
  <si>
    <t xml:space="preserve">2025-10-15</t>
  </si>
  <si>
    <t xml:space="preserve">Verify load test results attached to every DB change request</t>
  </si>
  <si>
    <t xml:space="preserve">Integrated with Jenkins pipeline</t>
  </si>
  <si>
    <t xml:space="preserve">PA-002</t>
  </si>
  <si>
    <t xml:space="preserve">Scale performance test environment to 50% of production data volume</t>
  </si>
  <si>
    <t xml:space="preserve">Infra Manager</t>
  </si>
  <si>
    <t xml:space="preserve">2025-11-30</t>
  </si>
  <si>
    <t xml:space="preserve">Compare test env metrics to production baseline</t>
  </si>
  <si>
    <t xml:space="preserve">Budget approved Q4 2025</t>
  </si>
  <si>
    <t xml:space="preserve">PA-003</t>
  </si>
  <si>
    <t xml:space="preserve">Configure database connection pool monitoring with auto-scaling alerts</t>
  </si>
  <si>
    <t xml:space="preserve">Detective</t>
  </si>
  <si>
    <t xml:space="preserve">DBA Team</t>
  </si>
  <si>
    <t xml:space="preserve">2025-10-01</t>
  </si>
  <si>
    <t xml:space="preserve">Alert fires when pool reaches 80% utilization</t>
  </si>
  <si>
    <t xml:space="preserve">Integrated with PagerDuty</t>
  </si>
  <si>
    <t xml:space="preserve">PA-004</t>
  </si>
  <si>
    <t xml:space="preserve">Add JVM heap memory monitoring and alerting for all interface engine instances</t>
  </si>
  <si>
    <t xml:space="preserve">Integration Team</t>
  </si>
  <si>
    <t xml:space="preserve">Heap usage alerts at 70% and 85% thresholds</t>
  </si>
  <si>
    <t xml:space="preserve">Grafana dashboard created</t>
  </si>
  <si>
    <t xml:space="preserve">PA-005</t>
  </si>
  <si>
    <t xml:space="preserve">Include memory profiling in vendor upgrade validation checklist</t>
  </si>
  <si>
    <t xml:space="preserve">Integration Lead</t>
  </si>
  <si>
    <t xml:space="preserve">2025-11-01</t>
  </si>
  <si>
    <t xml:space="preserve">Memory profiling report required before upgrade approval</t>
  </si>
  <si>
    <t xml:space="preserve">Added to change management template</t>
  </si>
  <si>
    <t xml:space="preserve">PA-006</t>
  </si>
  <si>
    <t xml:space="preserve">Automate vendor security advisory ingestion and triage for clinical infrastructure</t>
  </si>
  <si>
    <t xml:space="preserve">Security Ops</t>
  </si>
  <si>
    <t xml:space="preserve">Weekly automated advisory report with severity classification</t>
  </si>
  <si>
    <t xml:space="preserve">ServiceNow integration complete</t>
  </si>
  <si>
    <t xml:space="preserve">PA-007</t>
  </si>
  <si>
    <t xml:space="preserve">Define firmware patching SLA: Critical=72hrs, High=2wks for clinical storage</t>
  </si>
  <si>
    <t xml:space="preserve">2025-10-30</t>
  </si>
  <si>
    <t xml:space="preserve">Monthly compliance report against firmware SLA</t>
  </si>
  <si>
    <t xml:space="preserve">Policy document signed by CIO</t>
  </si>
  <si>
    <t xml:space="preserve">PA-008</t>
  </si>
  <si>
    <t xml:space="preserve">Implement mandatory SAST/DAST scanning in CI/CD for all patient-facing applications</t>
  </si>
  <si>
    <t xml:space="preserve">AppSec Lead</t>
  </si>
  <si>
    <t xml:space="preserve">Zero critical findings before production deployment</t>
  </si>
  <si>
    <t xml:space="preserve">SonarQube + OWASP ZAP integrated</t>
  </si>
  <si>
    <t xml:space="preserve">PA-009</t>
  </si>
  <si>
    <t xml:space="preserve">Mandate OWASP session management training for all development teams annually</t>
  </si>
  <si>
    <t xml:space="preserve">Training Manager</t>
  </si>
  <si>
    <t xml:space="preserve">2025-12-01</t>
  </si>
  <si>
    <t xml:space="preserve">Training completion tracked in LMS; 100% compliance required</t>
  </si>
  <si>
    <t xml:space="preserve">Added to annual security training</t>
  </si>
  <si>
    <t xml:space="preserve">PA-010</t>
  </si>
  <si>
    <t xml:space="preserve">Create automated VLAN conflict detection for all network changes affecting biomedical subnets</t>
  </si>
  <si>
    <t xml:space="preserve">Network Lead</t>
  </si>
  <si>
    <t xml:space="preserve">2025-12-15</t>
  </si>
  <si>
    <t xml:space="preserve">Pre-change automated validation report generated</t>
  </si>
  <si>
    <t xml:space="preserve">Ansible playbook deployed</t>
  </si>
  <si>
    <t xml:space="preserve">PA-011</t>
  </si>
  <si>
    <t xml:space="preserve">Establish joint biomedical-network change review board (monthly)</t>
  </si>
  <si>
    <t xml:space="preserve">IT Director</t>
  </si>
  <si>
    <t xml:space="preserve">Meeting minutes and change review log maintained</t>
  </si>
  <si>
    <t xml:space="preserve">First meeting held Nov 2025</t>
  </si>
  <si>
    <t xml:space="preserve">PA-012</t>
  </si>
  <si>
    <t xml:space="preserve">Reactivate CDS governance committee with quarterly alert tuning reviews</t>
  </si>
  <si>
    <t xml:space="preserve">CMIO</t>
  </si>
  <si>
    <t xml:space="preserve">Quarterly override rate report published; target &lt;70% override rate</t>
  </si>
  <si>
    <t xml:space="preserve">Committee charter renewed</t>
  </si>
  <si>
    <t xml:space="preserve">PA-013</t>
  </si>
  <si>
    <t xml:space="preserve">Implement clinician feedback loop for CDS alert relevance scoring</t>
  </si>
  <si>
    <t xml:space="preserve">Clinical Informatics</t>
  </si>
  <si>
    <t xml:space="preserve">2026-01-31</t>
  </si>
  <si>
    <t xml:space="preserve">Monthly alert relevance survey with &gt;50% response rate</t>
  </si>
  <si>
    <t xml:space="preserve">Integrated into Epic InBasket</t>
  </si>
  <si>
    <t xml:space="preserve">PA-014</t>
  </si>
  <si>
    <t xml:space="preserve">Deploy automated alert delivery validation (test alert monthly to all notification targets)</t>
  </si>
  <si>
    <t xml:space="preserve">Monitoring Team</t>
  </si>
  <si>
    <t xml:space="preserve">Monthly test alert delivery confirmation from all recipients</t>
  </si>
  <si>
    <t xml:space="preserve">Automated with ServiceNow workflow</t>
  </si>
  <si>
    <t xml:space="preserve">PA-015</t>
  </si>
  <si>
    <t xml:space="preserve">Create centralized notification target inventory with quarterly audit</t>
  </si>
  <si>
    <t xml:space="preserve">IT Ops Manager</t>
  </si>
  <si>
    <t xml:space="preserve">Quarterly audit report with DL membership verification</t>
  </si>
  <si>
    <t xml:space="preserve">CMDB integration complete</t>
  </si>
  <si>
    <t xml:space="preserve">PA-016</t>
  </si>
  <si>
    <t xml:space="preserve">Configure multi-region CDN failover and adaptive bitrate streaming for telehealth</t>
  </si>
  <si>
    <t xml:space="preserve">Corrective</t>
  </si>
  <si>
    <t xml:space="preserve">Telehealth Lead</t>
  </si>
  <si>
    <t xml:space="preserve">Failover test passes; latency &lt;500ms during CDN regional outage</t>
  </si>
  <si>
    <t xml:space="preserve">US-East and US-West CDN configured</t>
  </si>
  <si>
    <t xml:space="preserve">PA-017</t>
  </si>
  <si>
    <t xml:space="preserve">Implement third-party SLA monitoring dashboard for all critical vendor services</t>
  </si>
  <si>
    <t xml:space="preserve">Vendor Mgmt</t>
  </si>
  <si>
    <t xml:space="preserve">2026-02-01</t>
  </si>
  <si>
    <t xml:space="preserve">Real-time SLA dashboard with automated breach alerts</t>
  </si>
  <si>
    <t xml:space="preserve">Datadog integration live</t>
  </si>
  <si>
    <t xml:space="preserve">PA-018</t>
  </si>
  <si>
    <t xml:space="preserve">Deploy automated file share permission compliance scanning (daily)</t>
  </si>
  <si>
    <t xml:space="preserve">2026-01-10</t>
  </si>
  <si>
    <t xml:space="preserve">Daily scan report; auto-remediation for world-readable PHI directories</t>
  </si>
  <si>
    <t xml:space="preserve">CrowdStrike Falcon integrated</t>
  </si>
  <si>
    <t xml:space="preserve">PA-019</t>
  </si>
  <si>
    <t xml:space="preserve">Make PHI data handling training mandatory for all infrastructure staff during onboarding</t>
  </si>
  <si>
    <t xml:space="preserve">CISO</t>
  </si>
  <si>
    <t xml:space="preserve">100% completion within 30 days of hire; annual refresher required</t>
  </si>
  <si>
    <t xml:space="preserve">LMS enrollment automated via HR feed</t>
  </si>
  <si>
    <t xml:space="preserve">PA-020</t>
  </si>
  <si>
    <t xml:space="preserve">Implement centralized certificate lifecycle management (CLM) tool</t>
  </si>
  <si>
    <t xml:space="preserve">2026-02-28</t>
  </si>
  <si>
    <t xml:space="preserve">All certificates tracked; auto-renewal enabled; 30-day expiry alerts</t>
  </si>
  <si>
    <t xml:space="preserve">Evaluating Venafi vs AppViewX</t>
  </si>
  <si>
    <t xml:space="preserve">PA-021</t>
  </si>
  <si>
    <t xml:space="preserve">Add certificate verification to infrastructure migration closeout checklist</t>
  </si>
  <si>
    <t xml:space="preserve">Project Mgmt</t>
  </si>
  <si>
    <t xml:space="preserve">Migration signoff requires certificate inventory reconciliation</t>
  </si>
  <si>
    <t xml:space="preserve">Template updated in ServiceNow</t>
  </si>
  <si>
    <t xml:space="preserve">PA-022</t>
  </si>
  <si>
    <t xml:space="preserve">Create mandatory config backup/restore SOP for all IoT/biomedical firmware updates</t>
  </si>
  <si>
    <t xml:space="preserve">Biomedical Eng</t>
  </si>
  <si>
    <t xml:space="preserve">2026-02-15</t>
  </si>
  <si>
    <t xml:space="preserve">Config backup verified pre-update; restore validated post-update</t>
  </si>
  <si>
    <t xml:space="preserve">Draft SOP under clinical engineering review</t>
  </si>
  <si>
    <t xml:space="preserve">PA-023</t>
  </si>
  <si>
    <t xml:space="preserve">Integrate IoT device management into enterprise change management workflow</t>
  </si>
  <si>
    <t xml:space="preserve">2026-03-01</t>
  </si>
  <si>
    <t xml:space="preserve">All IoT firmware changes require change ticket with config backup evidence</t>
  </si>
  <si>
    <t xml:space="preserve">Scope being defined with clinical engineering</t>
  </si>
  <si>
    <t xml:space="preserve">PA-024</t>
  </si>
  <si>
    <t xml:space="preserve">Implement pessimistic locking or serialized queue for OR scheduling API</t>
  </si>
  <si>
    <t xml:space="preserve">Epic Dev Team</t>
  </si>
  <si>
    <t xml:space="preserve">Zero double-bookings in 30-day post-fix monitoring period</t>
  </si>
  <si>
    <t xml:space="preserve">Epic enhancement request submitted</t>
  </si>
  <si>
    <t xml:space="preserve">PA-025</t>
  </si>
  <si>
    <t xml:space="preserve">Add concurrency and race condition test scenarios to QA test strategy</t>
  </si>
  <si>
    <t xml:space="preserve">QA Lead</t>
  </si>
  <si>
    <t xml:space="preserve">Concurrency test suite runs in every sprint; 100% pass required</t>
  </si>
  <si>
    <t xml:space="preserve">JMeter concurrent user scripts in development</t>
  </si>
  <si>
    <t xml:space="preserve">PA-026</t>
  </si>
  <si>
    <t xml:space="preserve">Build staging environment mirroring Workday-to-AD integration for pre-prod validation</t>
  </si>
  <si>
    <t xml:space="preserve">Identity Team</t>
  </si>
  <si>
    <t xml:space="preserve">All Workday API changes validated in staging before production sync</t>
  </si>
  <si>
    <t xml:space="preserve">Azure sandbox environment requested</t>
  </si>
  <si>
    <t xml:space="preserve">PA-027</t>
  </si>
  <si>
    <t xml:space="preserve">Subscribe to Workday API changelog and integrate into change impact assessment</t>
  </si>
  <si>
    <t xml:space="preserve">API change notifications reviewed weekly by identity team</t>
  </si>
  <si>
    <t xml:space="preserve">RSS feed configured</t>
  </si>
  <si>
    <t xml:space="preserve">PA-028</t>
  </si>
  <si>
    <t xml:space="preserve">Tune interface ACK timeout to match Omnicell performance profile (5s baseline + buffer)</t>
  </si>
  <si>
    <t xml:space="preserve">Interface Team</t>
  </si>
  <si>
    <t xml:space="preserve">2026-02-20</t>
  </si>
  <si>
    <t xml:space="preserve">Zero duplicate orders in 14-day post-change monitoring</t>
  </si>
  <si>
    <t xml:space="preserve">Testing 7-second timeout in pre-prod</t>
  </si>
  <si>
    <t xml:space="preserve">PA-029</t>
  </si>
  <si>
    <t xml:space="preserve">Establish quarterly interface performance review cadence with defined SLAs</t>
  </si>
  <si>
    <t xml:space="preserve">2026-03-15</t>
  </si>
  <si>
    <t xml:space="preserve">Quarterly SLA compliance report for all clinical interfaces</t>
  </si>
  <si>
    <t xml:space="preserve">Template being developed</t>
  </si>
  <si>
    <t xml:space="preserve">PA-030</t>
  </si>
  <si>
    <t xml:space="preserve">Mandate DR runbook review within 30 days of any infrastructure change</t>
  </si>
  <si>
    <t xml:space="preserve">DR Coordinator</t>
  </si>
  <si>
    <t xml:space="preserve">Infrastructure change ticket requires DR documentation update evidence</t>
  </si>
  <si>
    <t xml:space="preserve">Policy draft under review</t>
  </si>
  <si>
    <t xml:space="preserve">PA-031</t>
  </si>
  <si>
    <t xml:space="preserve">Implement automated DNS failover validation (monthly synthetic tests)</t>
  </si>
  <si>
    <t xml:space="preserve">Network Team</t>
  </si>
  <si>
    <t xml:space="preserve">Monthly automated DNS resolution test from DR site with pass/fail report</t>
  </si>
  <si>
    <t xml:space="preserve">Evaluating Catchpoint vs ThousandEyes</t>
  </si>
  <si>
    <t xml:space="preserve">PA-032</t>
  </si>
  <si>
    <t xml:space="preserve">Include DR documentation update in infrastructure decommissioning checklist</t>
  </si>
  <si>
    <t xml:space="preserve">Decommissioning signoff requires DR runbook reconciliation</t>
  </si>
  <si>
    <t xml:space="preserve">ServiceNow workflow update pending</t>
  </si>
  <si>
    <t xml:space="preserve">ROOT CAUSE ANALYSIS (RCA) TEMPLATE</t>
  </si>
  <si>
    <t xml:space="preserve">Healthcare IT Problem Management</t>
  </si>
  <si>
    <t xml:space="preserve">1. INCIDENT DETAILS</t>
  </si>
  <si>
    <t xml:space="preserve">RCA ID:</t>
  </si>
  <si>
    <t xml:space="preserve">Incident Title:</t>
  </si>
  <si>
    <t xml:space="preserve">Date Identified:</t>
  </si>
  <si>
    <t xml:space="preserve">Severity:</t>
  </si>
  <si>
    <t xml:space="preserve">Critical / High / Medium / Low</t>
  </si>
  <si>
    <t xml:space="preserve">Affected System:</t>
  </si>
  <si>
    <t xml:space="preserve">Category:</t>
  </si>
  <si>
    <t xml:space="preserve">Application / Infrastructure / Network / Security / Integration / IoT</t>
  </si>
  <si>
    <t xml:space="preserve">Incident Owner:</t>
  </si>
  <si>
    <t xml:space="preserve">RCA Lead:</t>
  </si>
  <si>
    <t xml:space="preserve">Impact Description:</t>
  </si>
  <si>
    <t xml:space="preserve">2. FIVE WHYS ANALYSIS</t>
  </si>
  <si>
    <t xml:space="preserve">Problem Statement:</t>
  </si>
  <si>
    <t xml:space="preserve">Why #1:</t>
  </si>
  <si>
    <t xml:space="preserve">Why #2:</t>
  </si>
  <si>
    <t xml:space="preserve">Why #3:</t>
  </si>
  <si>
    <t xml:space="preserve">Why #4:</t>
  </si>
  <si>
    <t xml:space="preserve">Why #5 (Root Cause):</t>
  </si>
  <si>
    <t xml:space="preserve">3. FISHBONE (ISHIKAWA) ANALYSIS</t>
  </si>
  <si>
    <t xml:space="preserve">People:</t>
  </si>
  <si>
    <t xml:space="preserve">Process:</t>
  </si>
  <si>
    <t xml:space="preserve">Technology:</t>
  </si>
  <si>
    <t xml:space="preserve">Environment:</t>
  </si>
  <si>
    <t xml:space="preserve">Materials / Data:</t>
  </si>
  <si>
    <t xml:space="preserve">Management:</t>
  </si>
  <si>
    <t xml:space="preserve">4. PREVENTIVE / CORRECTIVE ACTIONS</t>
  </si>
  <si>
    <t xml:space="preserve">Action #</t>
  </si>
  <si>
    <t xml:space="preserve">Description</t>
  </si>
  <si>
    <t xml:space="preserve">Owner / Target Date</t>
  </si>
  <si>
    <t xml:space="preserve">Action 1</t>
  </si>
  <si>
    <t xml:space="preserve">Action 2</t>
  </si>
  <si>
    <t xml:space="preserve">Action 3</t>
  </si>
  <si>
    <t xml:space="preserve">Action 4</t>
  </si>
  <si>
    <t xml:space="preserve">Action 5</t>
  </si>
  <si>
    <t xml:space="preserve">5. REVIEW &amp; SIGN-OFF</t>
  </si>
  <si>
    <t xml:space="preserve">RCA Lead Signature:</t>
  </si>
  <si>
    <t xml:space="preserve">Problem Manager:</t>
  </si>
  <si>
    <t xml:space="preserve">IT Director / CISO:</t>
  </si>
  <si>
    <t xml:space="preserve">Review Date:</t>
  </si>
  <si>
    <t xml:space="preserve">Next Review Date:</t>
  </si>
  <si>
    <t xml:space="preserve">RCA LIBRARY — SUMMARY STATISTICS</t>
  </si>
  <si>
    <t xml:space="preserve">RCAs by Severity</t>
  </si>
  <si>
    <t xml:space="preserve">Count</t>
  </si>
  <si>
    <t xml:space="preserve">% of Total</t>
  </si>
  <si>
    <t xml:space="preserve">Low</t>
  </si>
  <si>
    <t xml:space="preserve">RCAs by Category</t>
  </si>
  <si>
    <t xml:space="preserve">Preventive Actions by Status</t>
  </si>
  <si>
    <t xml:space="preserve">Key Metrics</t>
  </si>
  <si>
    <t xml:space="preserve">Total RCAs in Library</t>
  </si>
  <si>
    <t xml:space="preserve">Total Preventive Actions</t>
  </si>
  <si>
    <t xml:space="preserve">Avg Days to Resolve (Closed RCAs)</t>
  </si>
  <si>
    <t xml:space="preserve">RCAs with All Actions Closed</t>
  </si>
  <si>
    <t xml:space="preserve">RCAs with Open Actions</t>
  </si>
  <si>
    <t xml:space="preserve">Action Closure Rate</t>
  </si>
  <si>
    <t xml:space="preserve">59.4%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</si>
</sst>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F9A82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EBF1F8"/>
        <bgColor rgb="FFE3F2FD"/>
      </patternFill>
    </fill>
    <fill>
      <patternFill patternType="solid">
        <fgColor rgb="FFFDE8E8"/>
        <bgColor rgb="FFFCE4EC"/>
      </patternFill>
    </fill>
    <fill>
      <patternFill patternType="solid">
        <fgColor rgb="FFE8F5E9"/>
        <bgColor rgb="FFEBF1F8"/>
      </patternFill>
    </fill>
    <fill>
      <patternFill patternType="solid">
        <fgColor rgb="FFFFF3E0"/>
        <bgColor rgb="FFFDE8E8"/>
      </patternFill>
    </fill>
    <fill>
      <patternFill patternType="solid">
        <fgColor rgb="FFFFF9C4"/>
        <bgColor rgb="FFFFFFCC"/>
      </patternFill>
    </fill>
    <fill>
      <patternFill patternType="solid">
        <fgColor rgb="FFE3F2FD"/>
        <bgColor rgb="FFEBF1F8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DE8E8"/>
      </patternFill>
    </fill>
    <fill>
      <patternFill patternType="solid">
        <fgColor rgb="FFD6E4F0"/>
        <bgColor rgb="FFE3F2FD"/>
      </patternFill>
    </fill>
    <fill>
      <patternFill patternType="solid">
        <fgColor rgb="FFFFFFCC"/>
        <bgColor rgb="FFFFF9C4"/>
      </patternFill>
    </fill>
    <fill>
      <patternFill patternType="solid">
        <fgColor rgb="FFFFE0E0"/>
        <bgColor rgb="FFFCE4EC"/>
      </patternFill>
    </fill>
    <fill>
      <patternFill patternType="solid">
        <fgColor rgb="FF2C3E6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2A4A"/>
        </patternFill>
      </fill>
    </dxf>
    <dxf>
      <fill>
        <patternFill patternType="solid">
          <fgColor rgb="FFEBF1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33333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DE8E8"/>
        </patternFill>
      </fill>
    </dxf>
    <dxf>
      <fill>
        <patternFill patternType="solid">
          <fgColor rgb="FFFFF3E0"/>
        </patternFill>
      </fill>
    </dxf>
    <dxf>
      <fill>
        <patternFill patternType="solid">
          <fgColor rgb="FFFFF9C4"/>
        </patternFill>
      </fill>
    </dxf>
    <dxf>
      <fill>
        <patternFill patternType="solid">
          <fgColor rgb="FFC0392B"/>
        </patternFill>
      </fill>
    </dxf>
    <dxf>
      <fill>
        <patternFill patternType="solid">
          <fgColor rgb="FFE67E22"/>
        </patternFill>
      </fill>
    </dxf>
    <dxf>
      <fill>
        <patternFill patternType="solid">
          <fgColor rgb="FFF9A825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E3F2F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B5CF6"/>
      <rgbColor rgb="FF993366"/>
      <rgbColor rgb="FFFFFFCC"/>
      <rgbColor rgb="FFE3F2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1F8"/>
      <rgbColor rgb="FFFFF9C4"/>
      <rgbColor rgb="FFF3E5F5"/>
      <rgbColor rgb="FFFCE4EC"/>
      <rgbColor rgb="FFFDE8E8"/>
      <rgbColor rgb="FFFFE0E0"/>
      <rgbColor rgb="FF3B5998"/>
      <rgbColor rgb="FF33CCCC"/>
      <rgbColor rgb="FF99CC00"/>
      <rgbColor rgb="FFFFCC00"/>
      <rgbColor rgb="FFF9A825"/>
      <rgbColor rgb="FFE67E22"/>
      <rgbColor rgb="FF666666"/>
      <rgbColor rgb="FF999999"/>
      <rgbColor rgb="FF1B2A4A"/>
      <rgbColor rgb="FF27AE60"/>
      <rgbColor rgb="FF003300"/>
      <rgbColor rgb="FF333300"/>
      <rgbColor rgb="FFC0392B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B2A4A"/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1.99"/>
    <col collapsed="false" customWidth="true" hidden="false" outlineLevel="0" max="5" min="5" style="0" width="14.01"/>
    <col collapsed="false" customWidth="true" hidden="false" outlineLevel="0" max="6" min="6" style="0" width="19.99"/>
    <col collapsed="false" customWidth="true" hidden="false" outlineLevel="0" max="7" min="7" style="0" width="35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4.01"/>
    <col collapsed="false" customWidth="true" hidden="false" outlineLevel="0" max="11" min="11" style="0" width="16"/>
    <col collapsed="false" customWidth="true" hidden="false" outlineLevel="0" max="12" min="12" style="0" width="14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3" t="s">
        <v>14</v>
      </c>
      <c r="D2" s="4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2" t="s">
        <v>20</v>
      </c>
      <c r="J2" s="5" t="s">
        <v>21</v>
      </c>
      <c r="K2" s="3" t="s">
        <v>22</v>
      </c>
      <c r="L2" s="2" t="n">
        <v>14</v>
      </c>
    </row>
    <row r="3" customFormat="false" ht="15" hidden="false" customHeight="false" outlineLevel="0" collapsed="false">
      <c r="A3" s="6" t="s">
        <v>23</v>
      </c>
      <c r="B3" s="7" t="s">
        <v>24</v>
      </c>
      <c r="C3" s="7" t="s">
        <v>25</v>
      </c>
      <c r="D3" s="8" t="s">
        <v>26</v>
      </c>
      <c r="E3" s="6" t="s">
        <v>27</v>
      </c>
      <c r="F3" s="7" t="s">
        <v>28</v>
      </c>
      <c r="G3" s="7" t="s">
        <v>29</v>
      </c>
      <c r="H3" s="7" t="s">
        <v>30</v>
      </c>
      <c r="I3" s="6" t="s">
        <v>20</v>
      </c>
      <c r="J3" s="5" t="s">
        <v>21</v>
      </c>
      <c r="K3" s="7" t="s">
        <v>31</v>
      </c>
      <c r="L3" s="6" t="n">
        <v>10</v>
      </c>
    </row>
    <row r="4" customFormat="false" ht="15" hidden="false" customHeight="false" outlineLevel="0" collapsed="false">
      <c r="A4" s="2" t="s">
        <v>32</v>
      </c>
      <c r="B4" s="3" t="s">
        <v>33</v>
      </c>
      <c r="C4" s="3" t="s">
        <v>34</v>
      </c>
      <c r="D4" s="4" t="s">
        <v>15</v>
      </c>
      <c r="E4" s="2" t="s">
        <v>35</v>
      </c>
      <c r="F4" s="3" t="s">
        <v>36</v>
      </c>
      <c r="G4" s="3" t="s">
        <v>37</v>
      </c>
      <c r="H4" s="3" t="s">
        <v>38</v>
      </c>
      <c r="I4" s="2" t="s">
        <v>20</v>
      </c>
      <c r="J4" s="5" t="s">
        <v>21</v>
      </c>
      <c r="K4" s="3" t="s">
        <v>39</v>
      </c>
      <c r="L4" s="2" t="n">
        <v>21</v>
      </c>
    </row>
    <row r="5" customFormat="false" ht="15" hidden="false" customHeight="false" outlineLevel="0" collapsed="false">
      <c r="A5" s="6" t="s">
        <v>40</v>
      </c>
      <c r="B5" s="7" t="s">
        <v>41</v>
      </c>
      <c r="C5" s="7" t="s">
        <v>42</v>
      </c>
      <c r="D5" s="4" t="s">
        <v>15</v>
      </c>
      <c r="E5" s="6" t="s">
        <v>43</v>
      </c>
      <c r="F5" s="7" t="s">
        <v>44</v>
      </c>
      <c r="G5" s="7" t="s">
        <v>45</v>
      </c>
      <c r="H5" s="7" t="s">
        <v>46</v>
      </c>
      <c r="I5" s="6" t="s">
        <v>20</v>
      </c>
      <c r="J5" s="5" t="s">
        <v>21</v>
      </c>
      <c r="K5" s="7" t="s">
        <v>47</v>
      </c>
      <c r="L5" s="6" t="n">
        <v>7</v>
      </c>
    </row>
    <row r="6" customFormat="false" ht="15" hidden="false" customHeight="false" outlineLevel="0" collapsed="false">
      <c r="A6" s="2" t="s">
        <v>48</v>
      </c>
      <c r="B6" s="3" t="s">
        <v>49</v>
      </c>
      <c r="C6" s="3" t="s">
        <v>50</v>
      </c>
      <c r="D6" s="8" t="s">
        <v>26</v>
      </c>
      <c r="E6" s="2" t="s">
        <v>51</v>
      </c>
      <c r="F6" s="3" t="s">
        <v>52</v>
      </c>
      <c r="G6" s="3" t="s">
        <v>53</v>
      </c>
      <c r="H6" s="3" t="s">
        <v>54</v>
      </c>
      <c r="I6" s="2" t="s">
        <v>20</v>
      </c>
      <c r="J6" s="5" t="s">
        <v>21</v>
      </c>
      <c r="K6" s="3" t="s">
        <v>55</v>
      </c>
      <c r="L6" s="2" t="n">
        <v>5</v>
      </c>
    </row>
    <row r="7" customFormat="false" ht="15" hidden="false" customHeight="false" outlineLevel="0" collapsed="false">
      <c r="A7" s="6" t="s">
        <v>56</v>
      </c>
      <c r="B7" s="7" t="s">
        <v>57</v>
      </c>
      <c r="C7" s="7" t="s">
        <v>14</v>
      </c>
      <c r="D7" s="9" t="s">
        <v>58</v>
      </c>
      <c r="E7" s="6" t="s">
        <v>59</v>
      </c>
      <c r="F7" s="7" t="s">
        <v>60</v>
      </c>
      <c r="G7" s="7" t="s">
        <v>61</v>
      </c>
      <c r="H7" s="7" t="s">
        <v>62</v>
      </c>
      <c r="I7" s="6" t="s">
        <v>20</v>
      </c>
      <c r="J7" s="5" t="s">
        <v>21</v>
      </c>
      <c r="K7" s="7" t="s">
        <v>63</v>
      </c>
      <c r="L7" s="6" t="n">
        <v>30</v>
      </c>
    </row>
    <row r="8" customFormat="false" ht="15" hidden="false" customHeight="false" outlineLevel="0" collapsed="false">
      <c r="A8" s="2" t="s">
        <v>64</v>
      </c>
      <c r="B8" s="3" t="s">
        <v>65</v>
      </c>
      <c r="C8" s="3" t="s">
        <v>34</v>
      </c>
      <c r="D8" s="8" t="s">
        <v>26</v>
      </c>
      <c r="E8" s="2" t="s">
        <v>66</v>
      </c>
      <c r="F8" s="3" t="s">
        <v>67</v>
      </c>
      <c r="G8" s="3" t="s">
        <v>68</v>
      </c>
      <c r="H8" s="3" t="s">
        <v>69</v>
      </c>
      <c r="I8" s="2" t="s">
        <v>20</v>
      </c>
      <c r="J8" s="5" t="s">
        <v>21</v>
      </c>
      <c r="K8" s="3" t="s">
        <v>70</v>
      </c>
      <c r="L8" s="2" t="n">
        <v>8</v>
      </c>
    </row>
    <row r="9" customFormat="false" ht="15" hidden="false" customHeight="false" outlineLevel="0" collapsed="false">
      <c r="A9" s="6" t="s">
        <v>71</v>
      </c>
      <c r="B9" s="7" t="s">
        <v>72</v>
      </c>
      <c r="C9" s="7" t="s">
        <v>14</v>
      </c>
      <c r="D9" s="9" t="s">
        <v>58</v>
      </c>
      <c r="E9" s="6" t="s">
        <v>73</v>
      </c>
      <c r="F9" s="7" t="s">
        <v>74</v>
      </c>
      <c r="G9" s="7" t="s">
        <v>75</v>
      </c>
      <c r="H9" s="7" t="s">
        <v>76</v>
      </c>
      <c r="I9" s="6" t="s">
        <v>20</v>
      </c>
      <c r="J9" s="5" t="s">
        <v>21</v>
      </c>
      <c r="K9" s="7" t="s">
        <v>77</v>
      </c>
      <c r="L9" s="6" t="n">
        <v>12</v>
      </c>
    </row>
    <row r="10" customFormat="false" ht="15" hidden="false" customHeight="false" outlineLevel="0" collapsed="false">
      <c r="A10" s="2" t="s">
        <v>78</v>
      </c>
      <c r="B10" s="3" t="s">
        <v>79</v>
      </c>
      <c r="C10" s="3" t="s">
        <v>42</v>
      </c>
      <c r="D10" s="4" t="s">
        <v>15</v>
      </c>
      <c r="E10" s="2" t="s">
        <v>80</v>
      </c>
      <c r="F10" s="3" t="s">
        <v>81</v>
      </c>
      <c r="G10" s="3" t="s">
        <v>82</v>
      </c>
      <c r="H10" s="3" t="s">
        <v>83</v>
      </c>
      <c r="I10" s="2" t="s">
        <v>20</v>
      </c>
      <c r="J10" s="5" t="s">
        <v>21</v>
      </c>
      <c r="K10" s="3" t="s">
        <v>47</v>
      </c>
      <c r="L10" s="2" t="n">
        <v>18</v>
      </c>
    </row>
    <row r="11" customFormat="false" ht="15" hidden="false" customHeight="false" outlineLevel="0" collapsed="false">
      <c r="A11" s="6" t="s">
        <v>84</v>
      </c>
      <c r="B11" s="7" t="s">
        <v>85</v>
      </c>
      <c r="C11" s="7" t="s">
        <v>25</v>
      </c>
      <c r="D11" s="9" t="s">
        <v>58</v>
      </c>
      <c r="E11" s="6" t="s">
        <v>86</v>
      </c>
      <c r="F11" s="7" t="s">
        <v>87</v>
      </c>
      <c r="G11" s="7" t="s">
        <v>88</v>
      </c>
      <c r="H11" s="7" t="s">
        <v>89</v>
      </c>
      <c r="I11" s="6" t="s">
        <v>20</v>
      </c>
      <c r="J11" s="5" t="s">
        <v>21</v>
      </c>
      <c r="K11" s="7" t="s">
        <v>31</v>
      </c>
      <c r="L11" s="6" t="n">
        <v>4</v>
      </c>
    </row>
    <row r="12" customFormat="false" ht="15" hidden="false" customHeight="false" outlineLevel="0" collapsed="false">
      <c r="A12" s="2" t="s">
        <v>90</v>
      </c>
      <c r="B12" s="3" t="s">
        <v>91</v>
      </c>
      <c r="C12" s="3" t="s">
        <v>92</v>
      </c>
      <c r="D12" s="4" t="s">
        <v>15</v>
      </c>
      <c r="E12" s="2" t="s">
        <v>93</v>
      </c>
      <c r="F12" s="3" t="s">
        <v>94</v>
      </c>
      <c r="G12" s="3" t="s">
        <v>95</v>
      </c>
      <c r="H12" s="3" t="s">
        <v>96</v>
      </c>
      <c r="I12" s="2" t="s">
        <v>20</v>
      </c>
      <c r="J12" s="10" t="s">
        <v>97</v>
      </c>
      <c r="K12" s="3" t="s">
        <v>39</v>
      </c>
      <c r="L12" s="2"/>
    </row>
    <row r="13" customFormat="false" ht="15" hidden="false" customHeight="false" outlineLevel="0" collapsed="false">
      <c r="A13" s="6" t="s">
        <v>98</v>
      </c>
      <c r="B13" s="7" t="s">
        <v>99</v>
      </c>
      <c r="C13" s="7" t="s">
        <v>14</v>
      </c>
      <c r="D13" s="8" t="s">
        <v>26</v>
      </c>
      <c r="E13" s="6" t="s">
        <v>100</v>
      </c>
      <c r="F13" s="7" t="s">
        <v>101</v>
      </c>
      <c r="G13" s="7" t="s">
        <v>102</v>
      </c>
      <c r="H13" s="7" t="s">
        <v>103</v>
      </c>
      <c r="I13" s="6" t="s">
        <v>20</v>
      </c>
      <c r="J13" s="10" t="s">
        <v>97</v>
      </c>
      <c r="K13" s="7" t="s">
        <v>22</v>
      </c>
      <c r="L13" s="6"/>
    </row>
    <row r="14" customFormat="false" ht="15" hidden="false" customHeight="false" outlineLevel="0" collapsed="false">
      <c r="A14" s="2" t="s">
        <v>104</v>
      </c>
      <c r="B14" s="3" t="s">
        <v>105</v>
      </c>
      <c r="C14" s="3" t="s">
        <v>106</v>
      </c>
      <c r="D14" s="9" t="s">
        <v>58</v>
      </c>
      <c r="E14" s="2" t="s">
        <v>107</v>
      </c>
      <c r="F14" s="3" t="s">
        <v>108</v>
      </c>
      <c r="G14" s="3" t="s">
        <v>109</v>
      </c>
      <c r="H14" s="3" t="s">
        <v>110</v>
      </c>
      <c r="I14" s="2" t="s">
        <v>20</v>
      </c>
      <c r="J14" s="5" t="s">
        <v>21</v>
      </c>
      <c r="K14" s="3" t="s">
        <v>55</v>
      </c>
      <c r="L14" s="2" t="n">
        <v>9</v>
      </c>
    </row>
    <row r="15" customFormat="false" ht="15" hidden="false" customHeight="false" outlineLevel="0" collapsed="false">
      <c r="A15" s="6" t="s">
        <v>111</v>
      </c>
      <c r="B15" s="7" t="s">
        <v>112</v>
      </c>
      <c r="C15" s="7" t="s">
        <v>25</v>
      </c>
      <c r="D15" s="8" t="s">
        <v>26</v>
      </c>
      <c r="E15" s="6" t="s">
        <v>113</v>
      </c>
      <c r="F15" s="7" t="s">
        <v>114</v>
      </c>
      <c r="G15" s="7" t="s">
        <v>115</v>
      </c>
      <c r="H15" s="7" t="s">
        <v>116</v>
      </c>
      <c r="I15" s="6" t="s">
        <v>20</v>
      </c>
      <c r="J15" s="11" t="s">
        <v>117</v>
      </c>
      <c r="K15" s="7" t="s">
        <v>70</v>
      </c>
      <c r="L15" s="6"/>
    </row>
    <row r="16" customFormat="false" ht="15" hidden="false" customHeight="false" outlineLevel="0" collapsed="false">
      <c r="A16" s="2" t="s">
        <v>118</v>
      </c>
      <c r="B16" s="3" t="s">
        <v>119</v>
      </c>
      <c r="C16" s="3" t="s">
        <v>34</v>
      </c>
      <c r="D16" s="8" t="s">
        <v>26</v>
      </c>
      <c r="E16" s="2" t="s">
        <v>120</v>
      </c>
      <c r="F16" s="3" t="s">
        <v>121</v>
      </c>
      <c r="G16" s="3" t="s">
        <v>122</v>
      </c>
      <c r="H16" s="3" t="s">
        <v>123</v>
      </c>
      <c r="I16" s="2" t="s">
        <v>20</v>
      </c>
      <c r="J16" s="11" t="s">
        <v>117</v>
      </c>
      <c r="K16" s="3" t="s">
        <v>77</v>
      </c>
      <c r="L16" s="2"/>
    </row>
  </sheetData>
  <autoFilter ref="A1:L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C3E6B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30.01"/>
    <col collapsed="false" customWidth="true" hidden="false" outlineLevel="0" max="6" min="3" style="0" width="35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customFormat="false" ht="15" hidden="false" customHeight="false" outlineLevel="0" collapsed="false">
      <c r="A2" s="2" t="s">
        <v>12</v>
      </c>
      <c r="B2" s="3" t="s">
        <v>13</v>
      </c>
      <c r="C2" s="3" t="s">
        <v>129</v>
      </c>
      <c r="D2" s="3" t="s">
        <v>130</v>
      </c>
      <c r="E2" s="3" t="s">
        <v>131</v>
      </c>
      <c r="F2" s="3" t="s">
        <v>132</v>
      </c>
      <c r="G2" s="12" t="s">
        <v>133</v>
      </c>
    </row>
    <row r="3" customFormat="false" ht="15" hidden="false" customHeight="false" outlineLevel="0" collapsed="false">
      <c r="A3" s="6" t="s">
        <v>23</v>
      </c>
      <c r="B3" s="7" t="s">
        <v>24</v>
      </c>
      <c r="C3" s="7" t="s">
        <v>134</v>
      </c>
      <c r="D3" s="7" t="s">
        <v>135</v>
      </c>
      <c r="E3" s="7" t="s">
        <v>136</v>
      </c>
      <c r="F3" s="7" t="s">
        <v>137</v>
      </c>
      <c r="G3" s="13" t="s">
        <v>138</v>
      </c>
    </row>
    <row r="4" customFormat="false" ht="15" hidden="false" customHeight="false" outlineLevel="0" collapsed="false">
      <c r="A4" s="2" t="s">
        <v>32</v>
      </c>
      <c r="B4" s="3" t="s">
        <v>33</v>
      </c>
      <c r="C4" s="3" t="s">
        <v>139</v>
      </c>
      <c r="D4" s="3" t="s">
        <v>140</v>
      </c>
      <c r="E4" s="3" t="s">
        <v>141</v>
      </c>
      <c r="F4" s="3" t="s">
        <v>142</v>
      </c>
      <c r="G4" s="12" t="s">
        <v>143</v>
      </c>
    </row>
    <row r="5" customFormat="false" ht="15" hidden="false" customHeight="false" outlineLevel="0" collapsed="false">
      <c r="A5" s="6" t="s">
        <v>40</v>
      </c>
      <c r="B5" s="7" t="s">
        <v>144</v>
      </c>
      <c r="C5" s="7" t="s">
        <v>145</v>
      </c>
      <c r="D5" s="7" t="s">
        <v>146</v>
      </c>
      <c r="E5" s="7" t="s">
        <v>147</v>
      </c>
      <c r="F5" s="7" t="s">
        <v>148</v>
      </c>
      <c r="G5" s="13" t="s">
        <v>149</v>
      </c>
    </row>
    <row r="6" customFormat="false" ht="15" hidden="false" customHeight="false" outlineLevel="0" collapsed="false">
      <c r="A6" s="2" t="s">
        <v>48</v>
      </c>
      <c r="B6" s="3" t="s">
        <v>150</v>
      </c>
      <c r="C6" s="3" t="s">
        <v>151</v>
      </c>
      <c r="D6" s="3" t="s">
        <v>152</v>
      </c>
      <c r="E6" s="3" t="s">
        <v>153</v>
      </c>
      <c r="F6" s="3" t="s">
        <v>154</v>
      </c>
      <c r="G6" s="12" t="s">
        <v>155</v>
      </c>
    </row>
    <row r="7" customFormat="false" ht="15" hidden="false" customHeight="false" outlineLevel="0" collapsed="false">
      <c r="A7" s="6" t="s">
        <v>56</v>
      </c>
      <c r="B7" s="7" t="s">
        <v>57</v>
      </c>
      <c r="C7" s="7" t="s">
        <v>156</v>
      </c>
      <c r="D7" s="7" t="s">
        <v>157</v>
      </c>
      <c r="E7" s="7" t="s">
        <v>158</v>
      </c>
      <c r="F7" s="7" t="s">
        <v>159</v>
      </c>
      <c r="G7" s="13" t="s">
        <v>160</v>
      </c>
    </row>
    <row r="8" customFormat="false" ht="15" hidden="false" customHeight="false" outlineLevel="0" collapsed="false">
      <c r="A8" s="2" t="s">
        <v>64</v>
      </c>
      <c r="B8" s="3" t="s">
        <v>65</v>
      </c>
      <c r="C8" s="3" t="s">
        <v>161</v>
      </c>
      <c r="D8" s="3" t="s">
        <v>162</v>
      </c>
      <c r="E8" s="3" t="s">
        <v>163</v>
      </c>
      <c r="F8" s="3" t="s">
        <v>164</v>
      </c>
      <c r="G8" s="12" t="s">
        <v>165</v>
      </c>
    </row>
    <row r="9" customFormat="false" ht="15" hidden="false" customHeight="false" outlineLevel="0" collapsed="false">
      <c r="A9" s="6" t="s">
        <v>71</v>
      </c>
      <c r="B9" s="7" t="s">
        <v>72</v>
      </c>
      <c r="C9" s="7" t="s">
        <v>166</v>
      </c>
      <c r="D9" s="7" t="s">
        <v>167</v>
      </c>
      <c r="E9" s="7" t="s">
        <v>168</v>
      </c>
      <c r="F9" s="7" t="s">
        <v>169</v>
      </c>
      <c r="G9" s="13" t="s">
        <v>170</v>
      </c>
    </row>
    <row r="10" customFormat="false" ht="15" hidden="false" customHeight="false" outlineLevel="0" collapsed="false">
      <c r="A10" s="2" t="s">
        <v>78</v>
      </c>
      <c r="B10" s="3" t="s">
        <v>79</v>
      </c>
      <c r="C10" s="3" t="s">
        <v>171</v>
      </c>
      <c r="D10" s="3" t="s">
        <v>172</v>
      </c>
      <c r="E10" s="3" t="s">
        <v>173</v>
      </c>
      <c r="F10" s="3" t="s">
        <v>174</v>
      </c>
      <c r="G10" s="12" t="s">
        <v>175</v>
      </c>
    </row>
    <row r="11" customFormat="false" ht="15" hidden="false" customHeight="false" outlineLevel="0" collapsed="false">
      <c r="A11" s="6" t="s">
        <v>84</v>
      </c>
      <c r="B11" s="7" t="s">
        <v>85</v>
      </c>
      <c r="C11" s="7" t="s">
        <v>176</v>
      </c>
      <c r="D11" s="7" t="s">
        <v>177</v>
      </c>
      <c r="E11" s="7" t="s">
        <v>178</v>
      </c>
      <c r="F11" s="7" t="s">
        <v>179</v>
      </c>
      <c r="G11" s="13" t="s">
        <v>180</v>
      </c>
    </row>
    <row r="12" customFormat="false" ht="15" hidden="false" customHeight="false" outlineLevel="0" collapsed="false">
      <c r="A12" s="2" t="s">
        <v>90</v>
      </c>
      <c r="B12" s="3" t="s">
        <v>91</v>
      </c>
      <c r="C12" s="3" t="s">
        <v>181</v>
      </c>
      <c r="D12" s="3" t="s">
        <v>182</v>
      </c>
      <c r="E12" s="3" t="s">
        <v>183</v>
      </c>
      <c r="F12" s="3" t="s">
        <v>184</v>
      </c>
      <c r="G12" s="12" t="s">
        <v>185</v>
      </c>
    </row>
    <row r="13" customFormat="false" ht="15" hidden="false" customHeight="false" outlineLevel="0" collapsed="false">
      <c r="A13" s="6" t="s">
        <v>98</v>
      </c>
      <c r="B13" s="7" t="s">
        <v>99</v>
      </c>
      <c r="C13" s="7" t="s">
        <v>186</v>
      </c>
      <c r="D13" s="7" t="s">
        <v>187</v>
      </c>
      <c r="E13" s="7" t="s">
        <v>188</v>
      </c>
      <c r="F13" s="7" t="s">
        <v>189</v>
      </c>
      <c r="G13" s="13" t="s">
        <v>190</v>
      </c>
    </row>
    <row r="14" customFormat="false" ht="15" hidden="false" customHeight="false" outlineLevel="0" collapsed="false">
      <c r="A14" s="2" t="s">
        <v>104</v>
      </c>
      <c r="B14" s="3" t="s">
        <v>105</v>
      </c>
      <c r="C14" s="3" t="s">
        <v>191</v>
      </c>
      <c r="D14" s="3" t="s">
        <v>192</v>
      </c>
      <c r="E14" s="3" t="s">
        <v>193</v>
      </c>
      <c r="F14" s="3" t="s">
        <v>194</v>
      </c>
      <c r="G14" s="12" t="s">
        <v>195</v>
      </c>
    </row>
    <row r="15" customFormat="false" ht="15" hidden="false" customHeight="false" outlineLevel="0" collapsed="false">
      <c r="A15" s="6" t="s">
        <v>111</v>
      </c>
      <c r="B15" s="7" t="s">
        <v>112</v>
      </c>
      <c r="C15" s="7" t="s">
        <v>196</v>
      </c>
      <c r="D15" s="7" t="s">
        <v>197</v>
      </c>
      <c r="E15" s="7" t="s">
        <v>198</v>
      </c>
      <c r="F15" s="7" t="s">
        <v>199</v>
      </c>
      <c r="G15" s="13" t="s">
        <v>200</v>
      </c>
    </row>
    <row r="16" customFormat="false" ht="15" hidden="false" customHeight="false" outlineLevel="0" collapsed="false">
      <c r="A16" s="2" t="s">
        <v>118</v>
      </c>
      <c r="B16" s="3" t="s">
        <v>119</v>
      </c>
      <c r="C16" s="3" t="s">
        <v>201</v>
      </c>
      <c r="D16" s="3" t="s">
        <v>202</v>
      </c>
      <c r="E16" s="3" t="s">
        <v>203</v>
      </c>
      <c r="F16" s="3" t="s">
        <v>204</v>
      </c>
      <c r="G16" s="1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3B5998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7.99"/>
    <col collapsed="false" customWidth="true" hidden="false" outlineLevel="0" max="8" min="3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customFormat="false" ht="15" hidden="false" customHeight="false" outlineLevel="0" collapsed="false">
      <c r="A2" s="6" t="s">
        <v>12</v>
      </c>
      <c r="B2" s="7" t="s">
        <v>212</v>
      </c>
      <c r="C2" s="14" t="s">
        <v>213</v>
      </c>
      <c r="D2" s="15" t="s">
        <v>214</v>
      </c>
      <c r="E2" s="16" t="s">
        <v>215</v>
      </c>
      <c r="F2" s="17" t="s">
        <v>216</v>
      </c>
      <c r="G2" s="18" t="s">
        <v>217</v>
      </c>
      <c r="H2" s="19" t="s">
        <v>218</v>
      </c>
    </row>
    <row r="3" customFormat="false" ht="15" hidden="false" customHeight="false" outlineLevel="0" collapsed="false">
      <c r="A3" s="6" t="s">
        <v>23</v>
      </c>
      <c r="B3" s="7" t="s">
        <v>219</v>
      </c>
      <c r="C3" s="14" t="s">
        <v>220</v>
      </c>
      <c r="D3" s="15" t="s">
        <v>221</v>
      </c>
      <c r="E3" s="16" t="s">
        <v>222</v>
      </c>
      <c r="F3" s="17" t="s">
        <v>223</v>
      </c>
      <c r="G3" s="18" t="s">
        <v>224</v>
      </c>
      <c r="H3" s="19" t="s">
        <v>225</v>
      </c>
    </row>
    <row r="4" customFormat="false" ht="15" hidden="false" customHeight="false" outlineLevel="0" collapsed="false">
      <c r="A4" s="6" t="s">
        <v>32</v>
      </c>
      <c r="B4" s="7" t="s">
        <v>33</v>
      </c>
      <c r="C4" s="14" t="s">
        <v>226</v>
      </c>
      <c r="D4" s="15" t="s">
        <v>227</v>
      </c>
      <c r="E4" s="16" t="s">
        <v>228</v>
      </c>
      <c r="F4" s="17" t="s">
        <v>229</v>
      </c>
      <c r="G4" s="18" t="s">
        <v>230</v>
      </c>
      <c r="H4" s="19" t="s">
        <v>231</v>
      </c>
    </row>
    <row r="5" customFormat="false" ht="15" hidden="false" customHeight="false" outlineLevel="0" collapsed="false">
      <c r="A5" s="6" t="s">
        <v>40</v>
      </c>
      <c r="B5" s="7" t="s">
        <v>232</v>
      </c>
      <c r="C5" s="14" t="s">
        <v>233</v>
      </c>
      <c r="D5" s="15" t="s">
        <v>234</v>
      </c>
      <c r="E5" s="16" t="s">
        <v>235</v>
      </c>
      <c r="F5" s="17" t="s">
        <v>236</v>
      </c>
      <c r="G5" s="18" t="s">
        <v>237</v>
      </c>
      <c r="H5" s="19" t="s">
        <v>238</v>
      </c>
    </row>
    <row r="6" customFormat="false" ht="15" hidden="false" customHeight="false" outlineLevel="0" collapsed="false">
      <c r="A6" s="6" t="s">
        <v>48</v>
      </c>
      <c r="B6" s="7" t="s">
        <v>150</v>
      </c>
      <c r="C6" s="14" t="s">
        <v>239</v>
      </c>
      <c r="D6" s="15" t="s">
        <v>240</v>
      </c>
      <c r="E6" s="16" t="s">
        <v>241</v>
      </c>
      <c r="F6" s="17" t="s">
        <v>242</v>
      </c>
      <c r="G6" s="18" t="s">
        <v>243</v>
      </c>
      <c r="H6" s="19" t="s">
        <v>244</v>
      </c>
    </row>
    <row r="7" customFormat="false" ht="15" hidden="false" customHeight="false" outlineLevel="0" collapsed="false">
      <c r="A7" s="6" t="s">
        <v>56</v>
      </c>
      <c r="B7" s="7" t="s">
        <v>245</v>
      </c>
      <c r="C7" s="14" t="s">
        <v>246</v>
      </c>
      <c r="D7" s="15" t="s">
        <v>247</v>
      </c>
      <c r="E7" s="16" t="s">
        <v>248</v>
      </c>
      <c r="F7" s="17" t="s">
        <v>249</v>
      </c>
      <c r="G7" s="18" t="s">
        <v>250</v>
      </c>
      <c r="H7" s="19" t="s">
        <v>251</v>
      </c>
    </row>
    <row r="8" customFormat="false" ht="15" hidden="false" customHeight="false" outlineLevel="0" collapsed="false">
      <c r="A8" s="6" t="s">
        <v>64</v>
      </c>
      <c r="B8" s="7" t="s">
        <v>252</v>
      </c>
      <c r="C8" s="14" t="s">
        <v>253</v>
      </c>
      <c r="D8" s="15" t="s">
        <v>254</v>
      </c>
      <c r="E8" s="16" t="s">
        <v>255</v>
      </c>
      <c r="F8" s="17" t="s">
        <v>256</v>
      </c>
      <c r="G8" s="18" t="s">
        <v>257</v>
      </c>
      <c r="H8" s="19" t="s">
        <v>258</v>
      </c>
    </row>
    <row r="9" customFormat="false" ht="15" hidden="false" customHeight="false" outlineLevel="0" collapsed="false">
      <c r="A9" s="6" t="s">
        <v>71</v>
      </c>
      <c r="B9" s="7" t="s">
        <v>259</v>
      </c>
      <c r="C9" s="14" t="s">
        <v>260</v>
      </c>
      <c r="D9" s="15" t="s">
        <v>261</v>
      </c>
      <c r="E9" s="16" t="s">
        <v>262</v>
      </c>
      <c r="F9" s="17" t="s">
        <v>263</v>
      </c>
      <c r="G9" s="18" t="s">
        <v>264</v>
      </c>
      <c r="H9" s="19" t="s">
        <v>265</v>
      </c>
    </row>
    <row r="10" customFormat="false" ht="15" hidden="false" customHeight="false" outlineLevel="0" collapsed="false">
      <c r="A10" s="6" t="s">
        <v>78</v>
      </c>
      <c r="B10" s="7" t="s">
        <v>266</v>
      </c>
      <c r="C10" s="14" t="s">
        <v>267</v>
      </c>
      <c r="D10" s="15" t="s">
        <v>268</v>
      </c>
      <c r="E10" s="16" t="s">
        <v>269</v>
      </c>
      <c r="F10" s="17" t="s">
        <v>270</v>
      </c>
      <c r="G10" s="18" t="s">
        <v>271</v>
      </c>
      <c r="H10" s="19" t="s">
        <v>272</v>
      </c>
    </row>
    <row r="11" customFormat="false" ht="15" hidden="false" customHeight="false" outlineLevel="0" collapsed="false">
      <c r="A11" s="6" t="s">
        <v>84</v>
      </c>
      <c r="B11" s="7" t="s">
        <v>273</v>
      </c>
      <c r="C11" s="14" t="s">
        <v>274</v>
      </c>
      <c r="D11" s="15" t="s">
        <v>275</v>
      </c>
      <c r="E11" s="16" t="s">
        <v>276</v>
      </c>
      <c r="F11" s="17" t="s">
        <v>277</v>
      </c>
      <c r="G11" s="18" t="s">
        <v>278</v>
      </c>
      <c r="H11" s="19" t="s">
        <v>279</v>
      </c>
    </row>
    <row r="12" customFormat="false" ht="15" hidden="false" customHeight="false" outlineLevel="0" collapsed="false">
      <c r="A12" s="6" t="s">
        <v>90</v>
      </c>
      <c r="B12" s="7" t="s">
        <v>280</v>
      </c>
      <c r="C12" s="14" t="s">
        <v>281</v>
      </c>
      <c r="D12" s="15" t="s">
        <v>282</v>
      </c>
      <c r="E12" s="16" t="s">
        <v>283</v>
      </c>
      <c r="F12" s="17" t="s">
        <v>284</v>
      </c>
      <c r="G12" s="18" t="s">
        <v>285</v>
      </c>
      <c r="H12" s="19" t="s">
        <v>286</v>
      </c>
    </row>
    <row r="13" customFormat="false" ht="15" hidden="false" customHeight="false" outlineLevel="0" collapsed="false">
      <c r="A13" s="6" t="s">
        <v>98</v>
      </c>
      <c r="B13" s="7" t="s">
        <v>287</v>
      </c>
      <c r="C13" s="14" t="s">
        <v>288</v>
      </c>
      <c r="D13" s="15" t="s">
        <v>289</v>
      </c>
      <c r="E13" s="16" t="s">
        <v>290</v>
      </c>
      <c r="F13" s="17" t="s">
        <v>291</v>
      </c>
      <c r="G13" s="18" t="s">
        <v>292</v>
      </c>
      <c r="H13" s="19" t="s">
        <v>293</v>
      </c>
    </row>
    <row r="14" customFormat="false" ht="15" hidden="false" customHeight="false" outlineLevel="0" collapsed="false">
      <c r="A14" s="6" t="s">
        <v>104</v>
      </c>
      <c r="B14" s="7" t="s">
        <v>294</v>
      </c>
      <c r="C14" s="14" t="s">
        <v>295</v>
      </c>
      <c r="D14" s="15" t="s">
        <v>296</v>
      </c>
      <c r="E14" s="16" t="s">
        <v>297</v>
      </c>
      <c r="F14" s="17" t="s">
        <v>298</v>
      </c>
      <c r="G14" s="18" t="s">
        <v>299</v>
      </c>
      <c r="H14" s="19" t="s">
        <v>300</v>
      </c>
    </row>
    <row r="15" customFormat="false" ht="15" hidden="false" customHeight="false" outlineLevel="0" collapsed="false">
      <c r="A15" s="6" t="s">
        <v>111</v>
      </c>
      <c r="B15" s="7" t="s">
        <v>301</v>
      </c>
      <c r="C15" s="14" t="s">
        <v>302</v>
      </c>
      <c r="D15" s="15" t="s">
        <v>303</v>
      </c>
      <c r="E15" s="16" t="s">
        <v>304</v>
      </c>
      <c r="F15" s="17" t="s">
        <v>305</v>
      </c>
      <c r="G15" s="18" t="s">
        <v>306</v>
      </c>
      <c r="H15" s="19" t="s">
        <v>307</v>
      </c>
    </row>
    <row r="16" customFormat="false" ht="15" hidden="false" customHeight="false" outlineLevel="0" collapsed="false">
      <c r="A16" s="6" t="s">
        <v>118</v>
      </c>
      <c r="B16" s="7" t="s">
        <v>308</v>
      </c>
      <c r="C16" s="14" t="s">
        <v>309</v>
      </c>
      <c r="D16" s="15" t="s">
        <v>310</v>
      </c>
      <c r="E16" s="16" t="s">
        <v>311</v>
      </c>
      <c r="F16" s="17" t="s">
        <v>312</v>
      </c>
      <c r="G16" s="18" t="s">
        <v>313</v>
      </c>
      <c r="H16" s="19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7AE6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1.99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1.99"/>
    <col collapsed="false" customWidth="true" hidden="false" outlineLevel="0" max="6" min="6" style="0" width="16"/>
    <col collapsed="false" customWidth="true" hidden="false" outlineLevel="0" max="8" min="7" style="0" width="14.01"/>
    <col collapsed="false" customWidth="true" hidden="false" outlineLevel="0" max="9" min="9" style="0" width="35"/>
    <col collapsed="false" customWidth="true" hidden="false" outlineLevel="0" max="10" min="10" style="0" width="30.01"/>
  </cols>
  <sheetData>
    <row r="1" customFormat="false" ht="15" hidden="false" customHeight="false" outlineLevel="0" collapsed="false">
      <c r="A1" s="1" t="s">
        <v>315</v>
      </c>
      <c r="B1" s="1" t="s">
        <v>0</v>
      </c>
      <c r="C1" s="1" t="s">
        <v>316</v>
      </c>
      <c r="D1" s="1" t="s">
        <v>317</v>
      </c>
      <c r="E1" s="1" t="s">
        <v>318</v>
      </c>
      <c r="F1" s="1" t="s">
        <v>10</v>
      </c>
      <c r="G1" s="1" t="s">
        <v>319</v>
      </c>
      <c r="H1" s="1" t="s">
        <v>9</v>
      </c>
      <c r="I1" s="1" t="s">
        <v>320</v>
      </c>
      <c r="J1" s="1" t="s">
        <v>321</v>
      </c>
    </row>
    <row r="2" customFormat="false" ht="15" hidden="false" customHeight="false" outlineLevel="0" collapsed="false">
      <c r="A2" s="2" t="s">
        <v>322</v>
      </c>
      <c r="B2" s="2" t="s">
        <v>12</v>
      </c>
      <c r="C2" s="3" t="s">
        <v>323</v>
      </c>
      <c r="D2" s="5" t="s">
        <v>324</v>
      </c>
      <c r="E2" s="4" t="s">
        <v>15</v>
      </c>
      <c r="F2" s="3" t="s">
        <v>325</v>
      </c>
      <c r="G2" s="2" t="s">
        <v>326</v>
      </c>
      <c r="H2" s="5" t="s">
        <v>21</v>
      </c>
      <c r="I2" s="3" t="s">
        <v>327</v>
      </c>
      <c r="J2" s="3" t="s">
        <v>328</v>
      </c>
    </row>
    <row r="3" customFormat="false" ht="15" hidden="false" customHeight="false" outlineLevel="0" collapsed="false">
      <c r="A3" s="6" t="s">
        <v>329</v>
      </c>
      <c r="B3" s="6" t="s">
        <v>12</v>
      </c>
      <c r="C3" s="7" t="s">
        <v>330</v>
      </c>
      <c r="D3" s="5" t="s">
        <v>324</v>
      </c>
      <c r="E3" s="8" t="s">
        <v>26</v>
      </c>
      <c r="F3" s="7" t="s">
        <v>331</v>
      </c>
      <c r="G3" s="6" t="s">
        <v>332</v>
      </c>
      <c r="H3" s="5" t="s">
        <v>21</v>
      </c>
      <c r="I3" s="7" t="s">
        <v>333</v>
      </c>
      <c r="J3" s="7" t="s">
        <v>334</v>
      </c>
    </row>
    <row r="4" customFormat="false" ht="15" hidden="false" customHeight="false" outlineLevel="0" collapsed="false">
      <c r="A4" s="2" t="s">
        <v>335</v>
      </c>
      <c r="B4" s="2" t="s">
        <v>12</v>
      </c>
      <c r="C4" s="3" t="s">
        <v>336</v>
      </c>
      <c r="D4" s="20" t="s">
        <v>337</v>
      </c>
      <c r="E4" s="8" t="s">
        <v>26</v>
      </c>
      <c r="F4" s="3" t="s">
        <v>338</v>
      </c>
      <c r="G4" s="2" t="s">
        <v>339</v>
      </c>
      <c r="H4" s="5" t="s">
        <v>21</v>
      </c>
      <c r="I4" s="3" t="s">
        <v>340</v>
      </c>
      <c r="J4" s="3" t="s">
        <v>341</v>
      </c>
    </row>
    <row r="5" customFormat="false" ht="15" hidden="false" customHeight="false" outlineLevel="0" collapsed="false">
      <c r="A5" s="6" t="s">
        <v>342</v>
      </c>
      <c r="B5" s="6" t="s">
        <v>23</v>
      </c>
      <c r="C5" s="7" t="s">
        <v>343</v>
      </c>
      <c r="D5" s="20" t="s">
        <v>337</v>
      </c>
      <c r="E5" s="8" t="s">
        <v>26</v>
      </c>
      <c r="F5" s="7" t="s">
        <v>344</v>
      </c>
      <c r="G5" s="6" t="s">
        <v>326</v>
      </c>
      <c r="H5" s="5" t="s">
        <v>21</v>
      </c>
      <c r="I5" s="7" t="s">
        <v>345</v>
      </c>
      <c r="J5" s="7" t="s">
        <v>346</v>
      </c>
    </row>
    <row r="6" customFormat="false" ht="15" hidden="false" customHeight="false" outlineLevel="0" collapsed="false">
      <c r="A6" s="2" t="s">
        <v>347</v>
      </c>
      <c r="B6" s="2" t="s">
        <v>23</v>
      </c>
      <c r="C6" s="3" t="s">
        <v>348</v>
      </c>
      <c r="D6" s="5" t="s">
        <v>324</v>
      </c>
      <c r="E6" s="9" t="s">
        <v>58</v>
      </c>
      <c r="F6" s="3" t="s">
        <v>349</v>
      </c>
      <c r="G6" s="2" t="s">
        <v>350</v>
      </c>
      <c r="H6" s="5" t="s">
        <v>21</v>
      </c>
      <c r="I6" s="3" t="s">
        <v>351</v>
      </c>
      <c r="J6" s="3" t="s">
        <v>352</v>
      </c>
    </row>
    <row r="7" customFormat="false" ht="15" hidden="false" customHeight="false" outlineLevel="0" collapsed="false">
      <c r="A7" s="6" t="s">
        <v>353</v>
      </c>
      <c r="B7" s="6" t="s">
        <v>32</v>
      </c>
      <c r="C7" s="7" t="s">
        <v>354</v>
      </c>
      <c r="D7" s="5" t="s">
        <v>324</v>
      </c>
      <c r="E7" s="4" t="s">
        <v>15</v>
      </c>
      <c r="F7" s="7" t="s">
        <v>355</v>
      </c>
      <c r="G7" s="6" t="s">
        <v>59</v>
      </c>
      <c r="H7" s="5" t="s">
        <v>21</v>
      </c>
      <c r="I7" s="7" t="s">
        <v>356</v>
      </c>
      <c r="J7" s="7" t="s">
        <v>357</v>
      </c>
    </row>
    <row r="8" customFormat="false" ht="15" hidden="false" customHeight="false" outlineLevel="0" collapsed="false">
      <c r="A8" s="2" t="s">
        <v>358</v>
      </c>
      <c r="B8" s="2" t="s">
        <v>32</v>
      </c>
      <c r="C8" s="3" t="s">
        <v>359</v>
      </c>
      <c r="D8" s="5" t="s">
        <v>324</v>
      </c>
      <c r="E8" s="8" t="s">
        <v>26</v>
      </c>
      <c r="F8" s="3" t="s">
        <v>331</v>
      </c>
      <c r="G8" s="2" t="s">
        <v>360</v>
      </c>
      <c r="H8" s="5" t="s">
        <v>21</v>
      </c>
      <c r="I8" s="3" t="s">
        <v>361</v>
      </c>
      <c r="J8" s="3" t="s">
        <v>362</v>
      </c>
    </row>
    <row r="9" customFormat="false" ht="15" hidden="false" customHeight="false" outlineLevel="0" collapsed="false">
      <c r="A9" s="6" t="s">
        <v>363</v>
      </c>
      <c r="B9" s="6" t="s">
        <v>40</v>
      </c>
      <c r="C9" s="7" t="s">
        <v>364</v>
      </c>
      <c r="D9" s="5" t="s">
        <v>324</v>
      </c>
      <c r="E9" s="4" t="s">
        <v>15</v>
      </c>
      <c r="F9" s="7" t="s">
        <v>365</v>
      </c>
      <c r="G9" s="6" t="s">
        <v>59</v>
      </c>
      <c r="H9" s="5" t="s">
        <v>21</v>
      </c>
      <c r="I9" s="7" t="s">
        <v>366</v>
      </c>
      <c r="J9" s="7" t="s">
        <v>367</v>
      </c>
    </row>
    <row r="10" customFormat="false" ht="15" hidden="false" customHeight="false" outlineLevel="0" collapsed="false">
      <c r="A10" s="2" t="s">
        <v>368</v>
      </c>
      <c r="B10" s="2" t="s">
        <v>40</v>
      </c>
      <c r="C10" s="3" t="s">
        <v>369</v>
      </c>
      <c r="D10" s="5" t="s">
        <v>324</v>
      </c>
      <c r="E10" s="8" t="s">
        <v>26</v>
      </c>
      <c r="F10" s="3" t="s">
        <v>370</v>
      </c>
      <c r="G10" s="2" t="s">
        <v>371</v>
      </c>
      <c r="H10" s="5" t="s">
        <v>21</v>
      </c>
      <c r="I10" s="3" t="s">
        <v>372</v>
      </c>
      <c r="J10" s="3" t="s">
        <v>373</v>
      </c>
    </row>
    <row r="11" customFormat="false" ht="15" hidden="false" customHeight="false" outlineLevel="0" collapsed="false">
      <c r="A11" s="6" t="s">
        <v>374</v>
      </c>
      <c r="B11" s="6" t="s">
        <v>48</v>
      </c>
      <c r="C11" s="7" t="s">
        <v>375</v>
      </c>
      <c r="D11" s="5" t="s">
        <v>324</v>
      </c>
      <c r="E11" s="8" t="s">
        <v>26</v>
      </c>
      <c r="F11" s="7" t="s">
        <v>376</v>
      </c>
      <c r="G11" s="6" t="s">
        <v>377</v>
      </c>
      <c r="H11" s="5" t="s">
        <v>21</v>
      </c>
      <c r="I11" s="7" t="s">
        <v>378</v>
      </c>
      <c r="J11" s="7" t="s">
        <v>379</v>
      </c>
    </row>
    <row r="12" customFormat="false" ht="15" hidden="false" customHeight="false" outlineLevel="0" collapsed="false">
      <c r="A12" s="2" t="s">
        <v>380</v>
      </c>
      <c r="B12" s="2" t="s">
        <v>48</v>
      </c>
      <c r="C12" s="3" t="s">
        <v>381</v>
      </c>
      <c r="D12" s="5" t="s">
        <v>324</v>
      </c>
      <c r="E12" s="9" t="s">
        <v>58</v>
      </c>
      <c r="F12" s="3" t="s">
        <v>382</v>
      </c>
      <c r="G12" s="2" t="s">
        <v>371</v>
      </c>
      <c r="H12" s="5" t="s">
        <v>21</v>
      </c>
      <c r="I12" s="3" t="s">
        <v>383</v>
      </c>
      <c r="J12" s="3" t="s">
        <v>384</v>
      </c>
    </row>
    <row r="13" customFormat="false" ht="15" hidden="false" customHeight="false" outlineLevel="0" collapsed="false">
      <c r="A13" s="6" t="s">
        <v>385</v>
      </c>
      <c r="B13" s="6" t="s">
        <v>56</v>
      </c>
      <c r="C13" s="7" t="s">
        <v>386</v>
      </c>
      <c r="D13" s="5" t="s">
        <v>324</v>
      </c>
      <c r="E13" s="8" t="s">
        <v>26</v>
      </c>
      <c r="F13" s="7" t="s">
        <v>387</v>
      </c>
      <c r="G13" s="6" t="s">
        <v>377</v>
      </c>
      <c r="H13" s="5" t="s">
        <v>21</v>
      </c>
      <c r="I13" s="7" t="s">
        <v>388</v>
      </c>
      <c r="J13" s="7" t="s">
        <v>389</v>
      </c>
    </row>
    <row r="14" customFormat="false" ht="15" hidden="false" customHeight="false" outlineLevel="0" collapsed="false">
      <c r="A14" s="2" t="s">
        <v>390</v>
      </c>
      <c r="B14" s="2" t="s">
        <v>56</v>
      </c>
      <c r="C14" s="3" t="s">
        <v>391</v>
      </c>
      <c r="D14" s="5" t="s">
        <v>324</v>
      </c>
      <c r="E14" s="9" t="s">
        <v>58</v>
      </c>
      <c r="F14" s="3" t="s">
        <v>392</v>
      </c>
      <c r="G14" s="2" t="s">
        <v>393</v>
      </c>
      <c r="H14" s="5" t="s">
        <v>21</v>
      </c>
      <c r="I14" s="3" t="s">
        <v>394</v>
      </c>
      <c r="J14" s="3" t="s">
        <v>395</v>
      </c>
    </row>
    <row r="15" customFormat="false" ht="15" hidden="false" customHeight="false" outlineLevel="0" collapsed="false">
      <c r="A15" s="6" t="s">
        <v>396</v>
      </c>
      <c r="B15" s="6" t="s">
        <v>64</v>
      </c>
      <c r="C15" s="7" t="s">
        <v>397</v>
      </c>
      <c r="D15" s="20" t="s">
        <v>337</v>
      </c>
      <c r="E15" s="8" t="s">
        <v>26</v>
      </c>
      <c r="F15" s="7" t="s">
        <v>398</v>
      </c>
      <c r="G15" s="6" t="s">
        <v>377</v>
      </c>
      <c r="H15" s="5" t="s">
        <v>21</v>
      </c>
      <c r="I15" s="7" t="s">
        <v>399</v>
      </c>
      <c r="J15" s="7" t="s">
        <v>400</v>
      </c>
    </row>
    <row r="16" customFormat="false" ht="15" hidden="false" customHeight="false" outlineLevel="0" collapsed="false">
      <c r="A16" s="2" t="s">
        <v>401</v>
      </c>
      <c r="B16" s="2" t="s">
        <v>64</v>
      </c>
      <c r="C16" s="3" t="s">
        <v>402</v>
      </c>
      <c r="D16" s="5" t="s">
        <v>324</v>
      </c>
      <c r="E16" s="9" t="s">
        <v>58</v>
      </c>
      <c r="F16" s="3" t="s">
        <v>403</v>
      </c>
      <c r="G16" s="2" t="s">
        <v>93</v>
      </c>
      <c r="H16" s="5" t="s">
        <v>21</v>
      </c>
      <c r="I16" s="3" t="s">
        <v>404</v>
      </c>
      <c r="J16" s="3" t="s">
        <v>405</v>
      </c>
    </row>
    <row r="17" customFormat="false" ht="15" hidden="false" customHeight="false" outlineLevel="0" collapsed="false">
      <c r="A17" s="6" t="s">
        <v>406</v>
      </c>
      <c r="B17" s="6" t="s">
        <v>71</v>
      </c>
      <c r="C17" s="7" t="s">
        <v>407</v>
      </c>
      <c r="D17" s="21" t="s">
        <v>408</v>
      </c>
      <c r="E17" s="8" t="s">
        <v>26</v>
      </c>
      <c r="F17" s="7" t="s">
        <v>409</v>
      </c>
      <c r="G17" s="6" t="s">
        <v>93</v>
      </c>
      <c r="H17" s="5" t="s">
        <v>21</v>
      </c>
      <c r="I17" s="7" t="s">
        <v>410</v>
      </c>
      <c r="J17" s="7" t="s">
        <v>411</v>
      </c>
    </row>
    <row r="18" customFormat="false" ht="15" hidden="false" customHeight="false" outlineLevel="0" collapsed="false">
      <c r="A18" s="2" t="s">
        <v>412</v>
      </c>
      <c r="B18" s="2" t="s">
        <v>71</v>
      </c>
      <c r="C18" s="3" t="s">
        <v>413</v>
      </c>
      <c r="D18" s="20" t="s">
        <v>337</v>
      </c>
      <c r="E18" s="9" t="s">
        <v>58</v>
      </c>
      <c r="F18" s="3" t="s">
        <v>414</v>
      </c>
      <c r="G18" s="2" t="s">
        <v>415</v>
      </c>
      <c r="H18" s="5" t="s">
        <v>21</v>
      </c>
      <c r="I18" s="3" t="s">
        <v>416</v>
      </c>
      <c r="J18" s="3" t="s">
        <v>417</v>
      </c>
    </row>
    <row r="19" customFormat="false" ht="15" hidden="false" customHeight="false" outlineLevel="0" collapsed="false">
      <c r="A19" s="6" t="s">
        <v>418</v>
      </c>
      <c r="B19" s="6" t="s">
        <v>78</v>
      </c>
      <c r="C19" s="7" t="s">
        <v>419</v>
      </c>
      <c r="D19" s="20" t="s">
        <v>337</v>
      </c>
      <c r="E19" s="4" t="s">
        <v>15</v>
      </c>
      <c r="F19" s="7" t="s">
        <v>355</v>
      </c>
      <c r="G19" s="6" t="s">
        <v>420</v>
      </c>
      <c r="H19" s="5" t="s">
        <v>21</v>
      </c>
      <c r="I19" s="7" t="s">
        <v>421</v>
      </c>
      <c r="J19" s="7" t="s">
        <v>422</v>
      </c>
    </row>
    <row r="20" customFormat="false" ht="15" hidden="false" customHeight="false" outlineLevel="0" collapsed="false">
      <c r="A20" s="2" t="s">
        <v>423</v>
      </c>
      <c r="B20" s="2" t="s">
        <v>78</v>
      </c>
      <c r="C20" s="3" t="s">
        <v>424</v>
      </c>
      <c r="D20" s="5" t="s">
        <v>324</v>
      </c>
      <c r="E20" s="4" t="s">
        <v>15</v>
      </c>
      <c r="F20" s="3" t="s">
        <v>425</v>
      </c>
      <c r="G20" s="2" t="s">
        <v>93</v>
      </c>
      <c r="H20" s="5" t="s">
        <v>21</v>
      </c>
      <c r="I20" s="3" t="s">
        <v>426</v>
      </c>
      <c r="J20" s="3" t="s">
        <v>427</v>
      </c>
    </row>
    <row r="21" customFormat="false" ht="15" hidden="false" customHeight="false" outlineLevel="0" collapsed="false">
      <c r="A21" s="6" t="s">
        <v>428</v>
      </c>
      <c r="B21" s="6" t="s">
        <v>84</v>
      </c>
      <c r="C21" s="7" t="s">
        <v>429</v>
      </c>
      <c r="D21" s="5" t="s">
        <v>324</v>
      </c>
      <c r="E21" s="8" t="s">
        <v>26</v>
      </c>
      <c r="F21" s="7" t="s">
        <v>331</v>
      </c>
      <c r="G21" s="6" t="s">
        <v>430</v>
      </c>
      <c r="H21" s="10" t="s">
        <v>97</v>
      </c>
      <c r="I21" s="7" t="s">
        <v>431</v>
      </c>
      <c r="J21" s="7" t="s">
        <v>432</v>
      </c>
    </row>
    <row r="22" customFormat="false" ht="15" hidden="false" customHeight="false" outlineLevel="0" collapsed="false">
      <c r="A22" s="2" t="s">
        <v>433</v>
      </c>
      <c r="B22" s="2" t="s">
        <v>84</v>
      </c>
      <c r="C22" s="3" t="s">
        <v>434</v>
      </c>
      <c r="D22" s="5" t="s">
        <v>324</v>
      </c>
      <c r="E22" s="9" t="s">
        <v>58</v>
      </c>
      <c r="F22" s="3" t="s">
        <v>435</v>
      </c>
      <c r="G22" s="2" t="s">
        <v>107</v>
      </c>
      <c r="H22" s="5" t="s">
        <v>21</v>
      </c>
      <c r="I22" s="3" t="s">
        <v>436</v>
      </c>
      <c r="J22" s="3" t="s">
        <v>437</v>
      </c>
    </row>
    <row r="23" customFormat="false" ht="15" hidden="false" customHeight="false" outlineLevel="0" collapsed="false">
      <c r="A23" s="6" t="s">
        <v>438</v>
      </c>
      <c r="B23" s="6" t="s">
        <v>90</v>
      </c>
      <c r="C23" s="7" t="s">
        <v>439</v>
      </c>
      <c r="D23" s="5" t="s">
        <v>324</v>
      </c>
      <c r="E23" s="4" t="s">
        <v>15</v>
      </c>
      <c r="F23" s="7" t="s">
        <v>440</v>
      </c>
      <c r="G23" s="6" t="s">
        <v>441</v>
      </c>
      <c r="H23" s="10" t="s">
        <v>97</v>
      </c>
      <c r="I23" s="7" t="s">
        <v>442</v>
      </c>
      <c r="J23" s="7" t="s">
        <v>443</v>
      </c>
    </row>
    <row r="24" customFormat="false" ht="15" hidden="false" customHeight="false" outlineLevel="0" collapsed="false">
      <c r="A24" s="2" t="s">
        <v>444</v>
      </c>
      <c r="B24" s="2" t="s">
        <v>90</v>
      </c>
      <c r="C24" s="3" t="s">
        <v>445</v>
      </c>
      <c r="D24" s="5" t="s">
        <v>324</v>
      </c>
      <c r="E24" s="8" t="s">
        <v>26</v>
      </c>
      <c r="F24" s="3" t="s">
        <v>382</v>
      </c>
      <c r="G24" s="2" t="s">
        <v>446</v>
      </c>
      <c r="H24" s="11" t="s">
        <v>117</v>
      </c>
      <c r="I24" s="3" t="s">
        <v>447</v>
      </c>
      <c r="J24" s="3" t="s">
        <v>448</v>
      </c>
    </row>
    <row r="25" customFormat="false" ht="15" hidden="false" customHeight="false" outlineLevel="0" collapsed="false">
      <c r="A25" s="6" t="s">
        <v>449</v>
      </c>
      <c r="B25" s="6" t="s">
        <v>98</v>
      </c>
      <c r="C25" s="7" t="s">
        <v>450</v>
      </c>
      <c r="D25" s="21" t="s">
        <v>408</v>
      </c>
      <c r="E25" s="4" t="s">
        <v>15</v>
      </c>
      <c r="F25" s="7" t="s">
        <v>451</v>
      </c>
      <c r="G25" s="6" t="s">
        <v>430</v>
      </c>
      <c r="H25" s="10" t="s">
        <v>97</v>
      </c>
      <c r="I25" s="7" t="s">
        <v>452</v>
      </c>
      <c r="J25" s="7" t="s">
        <v>453</v>
      </c>
    </row>
    <row r="26" customFormat="false" ht="15" hidden="false" customHeight="false" outlineLevel="0" collapsed="false">
      <c r="A26" s="2" t="s">
        <v>454</v>
      </c>
      <c r="B26" s="2" t="s">
        <v>98</v>
      </c>
      <c r="C26" s="3" t="s">
        <v>455</v>
      </c>
      <c r="D26" s="5" t="s">
        <v>324</v>
      </c>
      <c r="E26" s="8" t="s">
        <v>26</v>
      </c>
      <c r="F26" s="3" t="s">
        <v>456</v>
      </c>
      <c r="G26" s="2" t="s">
        <v>441</v>
      </c>
      <c r="H26" s="10" t="s">
        <v>97</v>
      </c>
      <c r="I26" s="3" t="s">
        <v>457</v>
      </c>
      <c r="J26" s="3" t="s">
        <v>458</v>
      </c>
    </row>
    <row r="27" customFormat="false" ht="15" hidden="false" customHeight="false" outlineLevel="0" collapsed="false">
      <c r="A27" s="6" t="s">
        <v>459</v>
      </c>
      <c r="B27" s="6" t="s">
        <v>104</v>
      </c>
      <c r="C27" s="7" t="s">
        <v>460</v>
      </c>
      <c r="D27" s="5" t="s">
        <v>324</v>
      </c>
      <c r="E27" s="8" t="s">
        <v>26</v>
      </c>
      <c r="F27" s="7" t="s">
        <v>461</v>
      </c>
      <c r="G27" s="6" t="s">
        <v>446</v>
      </c>
      <c r="H27" s="11" t="s">
        <v>117</v>
      </c>
      <c r="I27" s="7" t="s">
        <v>462</v>
      </c>
      <c r="J27" s="7" t="s">
        <v>463</v>
      </c>
    </row>
    <row r="28" customFormat="false" ht="15" hidden="false" customHeight="false" outlineLevel="0" collapsed="false">
      <c r="A28" s="2" t="s">
        <v>464</v>
      </c>
      <c r="B28" s="2" t="s">
        <v>104</v>
      </c>
      <c r="C28" s="3" t="s">
        <v>465</v>
      </c>
      <c r="D28" s="5" t="s">
        <v>324</v>
      </c>
      <c r="E28" s="9" t="s">
        <v>58</v>
      </c>
      <c r="F28" s="3" t="s">
        <v>414</v>
      </c>
      <c r="G28" s="2" t="s">
        <v>441</v>
      </c>
      <c r="H28" s="10" t="s">
        <v>97</v>
      </c>
      <c r="I28" s="3" t="s">
        <v>466</v>
      </c>
      <c r="J28" s="3" t="s">
        <v>467</v>
      </c>
    </row>
    <row r="29" customFormat="false" ht="15" hidden="false" customHeight="false" outlineLevel="0" collapsed="false">
      <c r="A29" s="6" t="s">
        <v>468</v>
      </c>
      <c r="B29" s="6" t="s">
        <v>111</v>
      </c>
      <c r="C29" s="7" t="s">
        <v>469</v>
      </c>
      <c r="D29" s="21" t="s">
        <v>408</v>
      </c>
      <c r="E29" s="8" t="s">
        <v>26</v>
      </c>
      <c r="F29" s="7" t="s">
        <v>470</v>
      </c>
      <c r="G29" s="6" t="s">
        <v>471</v>
      </c>
      <c r="H29" s="10" t="s">
        <v>97</v>
      </c>
      <c r="I29" s="7" t="s">
        <v>472</v>
      </c>
      <c r="J29" s="7" t="s">
        <v>473</v>
      </c>
    </row>
    <row r="30" customFormat="false" ht="15" hidden="false" customHeight="false" outlineLevel="0" collapsed="false">
      <c r="A30" s="2" t="s">
        <v>474</v>
      </c>
      <c r="B30" s="2" t="s">
        <v>111</v>
      </c>
      <c r="C30" s="3" t="s">
        <v>475</v>
      </c>
      <c r="D30" s="5" t="s">
        <v>324</v>
      </c>
      <c r="E30" s="9" t="s">
        <v>58</v>
      </c>
      <c r="F30" s="3" t="s">
        <v>349</v>
      </c>
      <c r="G30" s="2" t="s">
        <v>476</v>
      </c>
      <c r="H30" s="11" t="s">
        <v>117</v>
      </c>
      <c r="I30" s="3" t="s">
        <v>477</v>
      </c>
      <c r="J30" s="3" t="s">
        <v>478</v>
      </c>
    </row>
    <row r="31" customFormat="false" ht="15" hidden="false" customHeight="false" outlineLevel="0" collapsed="false">
      <c r="A31" s="6" t="s">
        <v>479</v>
      </c>
      <c r="B31" s="6" t="s">
        <v>118</v>
      </c>
      <c r="C31" s="7" t="s">
        <v>480</v>
      </c>
      <c r="D31" s="5" t="s">
        <v>324</v>
      </c>
      <c r="E31" s="4" t="s">
        <v>15</v>
      </c>
      <c r="F31" s="7" t="s">
        <v>481</v>
      </c>
      <c r="G31" s="6" t="s">
        <v>446</v>
      </c>
      <c r="H31" s="11" t="s">
        <v>117</v>
      </c>
      <c r="I31" s="7" t="s">
        <v>482</v>
      </c>
      <c r="J31" s="7" t="s">
        <v>483</v>
      </c>
    </row>
    <row r="32" customFormat="false" ht="15" hidden="false" customHeight="false" outlineLevel="0" collapsed="false">
      <c r="A32" s="2" t="s">
        <v>484</v>
      </c>
      <c r="B32" s="2" t="s">
        <v>118</v>
      </c>
      <c r="C32" s="3" t="s">
        <v>485</v>
      </c>
      <c r="D32" s="20" t="s">
        <v>337</v>
      </c>
      <c r="E32" s="8" t="s">
        <v>26</v>
      </c>
      <c r="F32" s="3" t="s">
        <v>486</v>
      </c>
      <c r="G32" s="2" t="s">
        <v>476</v>
      </c>
      <c r="H32" s="11" t="s">
        <v>117</v>
      </c>
      <c r="I32" s="3" t="s">
        <v>487</v>
      </c>
      <c r="J32" s="3" t="s">
        <v>488</v>
      </c>
    </row>
    <row r="33" customFormat="false" ht="15" hidden="false" customHeight="false" outlineLevel="0" collapsed="false">
      <c r="A33" s="6" t="s">
        <v>489</v>
      </c>
      <c r="B33" s="6" t="s">
        <v>118</v>
      </c>
      <c r="C33" s="7" t="s">
        <v>490</v>
      </c>
      <c r="D33" s="5" t="s">
        <v>324</v>
      </c>
      <c r="E33" s="8" t="s">
        <v>26</v>
      </c>
      <c r="F33" s="7" t="s">
        <v>403</v>
      </c>
      <c r="G33" s="6" t="s">
        <v>430</v>
      </c>
      <c r="H33" s="11" t="s">
        <v>117</v>
      </c>
      <c r="I33" s="7" t="s">
        <v>491</v>
      </c>
      <c r="J33" s="7" t="s">
        <v>492</v>
      </c>
    </row>
  </sheetData>
  <autoFilter ref="A1:J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67E22"/>
    <pageSetUpPr fitToPage="false"/>
  </sheetPr>
  <dimension ref="B2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99"/>
    <col collapsed="false" customWidth="true" hidden="false" outlineLevel="0" max="2" min="2" style="0" width="27.99"/>
    <col collapsed="false" customWidth="true" hidden="false" outlineLevel="0" max="4" min="3" style="0" width="50"/>
    <col collapsed="false" customWidth="true" hidden="false" outlineLevel="0" max="5" min="5" style="0" width="3.99"/>
  </cols>
  <sheetData>
    <row r="2" customFormat="false" ht="39.75" hidden="false" customHeight="true" outlineLevel="0" collapsed="false">
      <c r="B2" s="22" t="s">
        <v>493</v>
      </c>
      <c r="C2" s="22"/>
      <c r="D2" s="22"/>
    </row>
    <row r="3" customFormat="false" ht="15" hidden="false" customHeight="false" outlineLevel="0" collapsed="false">
      <c r="B3" s="23" t="s">
        <v>494</v>
      </c>
      <c r="C3" s="23"/>
      <c r="D3" s="23"/>
    </row>
    <row r="5" customFormat="false" ht="27.75" hidden="false" customHeight="true" outlineLevel="0" collapsed="false">
      <c r="B5" s="24" t="s">
        <v>495</v>
      </c>
      <c r="C5" s="24"/>
      <c r="D5" s="24"/>
    </row>
    <row r="6" customFormat="false" ht="15" hidden="false" customHeight="false" outlineLevel="0" collapsed="false">
      <c r="B6" s="25" t="s">
        <v>496</v>
      </c>
      <c r="C6" s="26"/>
      <c r="D6" s="26"/>
    </row>
    <row r="7" customFormat="false" ht="15" hidden="false" customHeight="false" outlineLevel="0" collapsed="false">
      <c r="B7" s="25" t="s">
        <v>497</v>
      </c>
      <c r="C7" s="26"/>
      <c r="D7" s="26"/>
    </row>
    <row r="8" customFormat="false" ht="15" hidden="false" customHeight="false" outlineLevel="0" collapsed="false">
      <c r="B8" s="25" t="s">
        <v>498</v>
      </c>
      <c r="C8" s="26"/>
      <c r="D8" s="26"/>
    </row>
    <row r="9" customFormat="false" ht="15" hidden="false" customHeight="false" outlineLevel="0" collapsed="false">
      <c r="B9" s="25" t="s">
        <v>499</v>
      </c>
      <c r="C9" s="27" t="s">
        <v>500</v>
      </c>
      <c r="D9" s="27"/>
    </row>
    <row r="10" customFormat="false" ht="15" hidden="false" customHeight="false" outlineLevel="0" collapsed="false">
      <c r="B10" s="25" t="s">
        <v>501</v>
      </c>
      <c r="C10" s="26"/>
      <c r="D10" s="26"/>
    </row>
    <row r="11" customFormat="false" ht="15" hidden="false" customHeight="false" outlineLevel="0" collapsed="false">
      <c r="B11" s="25" t="s">
        <v>502</v>
      </c>
      <c r="C11" s="27" t="s">
        <v>503</v>
      </c>
      <c r="D11" s="27"/>
    </row>
    <row r="12" customFormat="false" ht="15" hidden="false" customHeight="false" outlineLevel="0" collapsed="false">
      <c r="B12" s="25" t="s">
        <v>504</v>
      </c>
      <c r="C12" s="26"/>
      <c r="D12" s="26"/>
    </row>
    <row r="13" customFormat="false" ht="15" hidden="false" customHeight="false" outlineLevel="0" collapsed="false">
      <c r="B13" s="25" t="s">
        <v>505</v>
      </c>
      <c r="C13" s="26"/>
      <c r="D13" s="26"/>
    </row>
    <row r="14" customFormat="false" ht="15" hidden="false" customHeight="false" outlineLevel="0" collapsed="false">
      <c r="B14" s="25" t="s">
        <v>506</v>
      </c>
      <c r="C14" s="26"/>
      <c r="D14" s="26"/>
    </row>
    <row r="16" customFormat="false" ht="27.75" hidden="false" customHeight="true" outlineLevel="0" collapsed="false">
      <c r="B16" s="24" t="s">
        <v>507</v>
      </c>
      <c r="C16" s="24"/>
      <c r="D16" s="24"/>
    </row>
    <row r="17" customFormat="false" ht="30" hidden="false" customHeight="true" outlineLevel="0" collapsed="false">
      <c r="B17" s="25" t="s">
        <v>508</v>
      </c>
      <c r="C17" s="26"/>
      <c r="D17" s="26"/>
    </row>
    <row r="18" customFormat="false" ht="30" hidden="false" customHeight="true" outlineLevel="0" collapsed="false">
      <c r="B18" s="25" t="s">
        <v>509</v>
      </c>
      <c r="C18" s="26"/>
      <c r="D18" s="26"/>
    </row>
    <row r="19" customFormat="false" ht="30" hidden="false" customHeight="true" outlineLevel="0" collapsed="false">
      <c r="B19" s="25" t="s">
        <v>510</v>
      </c>
      <c r="C19" s="26"/>
      <c r="D19" s="26"/>
    </row>
    <row r="20" customFormat="false" ht="30" hidden="false" customHeight="true" outlineLevel="0" collapsed="false">
      <c r="B20" s="25" t="s">
        <v>511</v>
      </c>
      <c r="C20" s="26"/>
      <c r="D20" s="26"/>
    </row>
    <row r="21" customFormat="false" ht="30" hidden="false" customHeight="true" outlineLevel="0" collapsed="false">
      <c r="B21" s="25" t="s">
        <v>512</v>
      </c>
      <c r="C21" s="26"/>
      <c r="D21" s="26"/>
    </row>
    <row r="22" customFormat="false" ht="30" hidden="false" customHeight="true" outlineLevel="0" collapsed="false">
      <c r="B22" s="25" t="s">
        <v>513</v>
      </c>
      <c r="C22" s="28"/>
      <c r="D22" s="28"/>
    </row>
    <row r="24" customFormat="false" ht="27.75" hidden="false" customHeight="true" outlineLevel="0" collapsed="false">
      <c r="B24" s="24" t="s">
        <v>514</v>
      </c>
      <c r="C24" s="24"/>
      <c r="D24" s="24"/>
    </row>
    <row r="25" customFormat="false" ht="30" hidden="false" customHeight="true" outlineLevel="0" collapsed="false">
      <c r="B25" s="25" t="s">
        <v>515</v>
      </c>
      <c r="C25" s="26"/>
      <c r="D25" s="26"/>
    </row>
    <row r="26" customFormat="false" ht="30" hidden="false" customHeight="true" outlineLevel="0" collapsed="false">
      <c r="B26" s="25" t="s">
        <v>516</v>
      </c>
      <c r="C26" s="26"/>
      <c r="D26" s="26"/>
    </row>
    <row r="27" customFormat="false" ht="30" hidden="false" customHeight="true" outlineLevel="0" collapsed="false">
      <c r="B27" s="25" t="s">
        <v>517</v>
      </c>
      <c r="C27" s="26"/>
      <c r="D27" s="26"/>
    </row>
    <row r="28" customFormat="false" ht="30" hidden="false" customHeight="true" outlineLevel="0" collapsed="false">
      <c r="B28" s="25" t="s">
        <v>518</v>
      </c>
      <c r="C28" s="26"/>
      <c r="D28" s="26"/>
    </row>
    <row r="29" customFormat="false" ht="30" hidden="false" customHeight="true" outlineLevel="0" collapsed="false">
      <c r="B29" s="25" t="s">
        <v>519</v>
      </c>
      <c r="C29" s="26"/>
      <c r="D29" s="26"/>
    </row>
    <row r="30" customFormat="false" ht="30" hidden="false" customHeight="true" outlineLevel="0" collapsed="false">
      <c r="B30" s="25" t="s">
        <v>520</v>
      </c>
      <c r="C30" s="26"/>
      <c r="D30" s="26"/>
    </row>
    <row r="32" customFormat="false" ht="27.75" hidden="false" customHeight="true" outlineLevel="0" collapsed="false">
      <c r="B32" s="24" t="s">
        <v>521</v>
      </c>
      <c r="C32" s="24"/>
      <c r="D32" s="24"/>
    </row>
    <row r="33" customFormat="false" ht="15" hidden="false" customHeight="false" outlineLevel="0" collapsed="false">
      <c r="B33" s="29" t="s">
        <v>522</v>
      </c>
      <c r="C33" s="29" t="s">
        <v>523</v>
      </c>
      <c r="D33" s="29" t="s">
        <v>524</v>
      </c>
    </row>
    <row r="34" customFormat="false" ht="27.75" hidden="false" customHeight="true" outlineLevel="0" collapsed="false">
      <c r="B34" s="30" t="s">
        <v>525</v>
      </c>
      <c r="C34" s="26"/>
      <c r="D34" s="26"/>
    </row>
    <row r="35" customFormat="false" ht="27.75" hidden="false" customHeight="true" outlineLevel="0" collapsed="false">
      <c r="B35" s="30" t="s">
        <v>526</v>
      </c>
      <c r="C35" s="26"/>
      <c r="D35" s="26"/>
    </row>
    <row r="36" customFormat="false" ht="27.75" hidden="false" customHeight="true" outlineLevel="0" collapsed="false">
      <c r="B36" s="30" t="s">
        <v>527</v>
      </c>
      <c r="C36" s="26"/>
      <c r="D36" s="26"/>
    </row>
    <row r="37" customFormat="false" ht="27.75" hidden="false" customHeight="true" outlineLevel="0" collapsed="false">
      <c r="B37" s="30" t="s">
        <v>528</v>
      </c>
      <c r="C37" s="26"/>
      <c r="D37" s="26"/>
    </row>
    <row r="38" customFormat="false" ht="27.75" hidden="false" customHeight="true" outlineLevel="0" collapsed="false">
      <c r="B38" s="30" t="s">
        <v>529</v>
      </c>
      <c r="C38" s="26"/>
      <c r="D38" s="26"/>
    </row>
    <row r="40" customFormat="false" ht="15" hidden="false" customHeight="false" outlineLevel="0" collapsed="false">
      <c r="B40" s="24" t="s">
        <v>530</v>
      </c>
      <c r="C40" s="24"/>
      <c r="D40" s="24"/>
    </row>
    <row r="41" customFormat="false" ht="15" hidden="false" customHeight="false" outlineLevel="0" collapsed="false">
      <c r="B41" s="25" t="s">
        <v>531</v>
      </c>
      <c r="C41" s="26"/>
      <c r="D41" s="26"/>
    </row>
    <row r="42" customFormat="false" ht="15" hidden="false" customHeight="false" outlineLevel="0" collapsed="false">
      <c r="B42" s="25" t="s">
        <v>532</v>
      </c>
      <c r="C42" s="26"/>
      <c r="D42" s="26"/>
    </row>
    <row r="43" customFormat="false" ht="15" hidden="false" customHeight="false" outlineLevel="0" collapsed="false">
      <c r="B43" s="25" t="s">
        <v>533</v>
      </c>
      <c r="C43" s="26"/>
      <c r="D43" s="26"/>
    </row>
    <row r="44" customFormat="false" ht="15" hidden="false" customHeight="false" outlineLevel="0" collapsed="false">
      <c r="B44" s="25" t="s">
        <v>534</v>
      </c>
      <c r="C44" s="26"/>
      <c r="D44" s="26"/>
    </row>
    <row r="45" customFormat="false" ht="15" hidden="false" customHeight="false" outlineLevel="0" collapsed="false">
      <c r="B45" s="25" t="s">
        <v>535</v>
      </c>
      <c r="C45" s="26"/>
      <c r="D45" s="26"/>
    </row>
  </sheetData>
  <mergeCells count="33">
    <mergeCell ref="B2:D2"/>
    <mergeCell ref="B3:D3"/>
    <mergeCell ref="B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6:D16"/>
    <mergeCell ref="C17:D17"/>
    <mergeCell ref="C18:D18"/>
    <mergeCell ref="C19:D19"/>
    <mergeCell ref="C20:D20"/>
    <mergeCell ref="C21:D21"/>
    <mergeCell ref="C22:D22"/>
    <mergeCell ref="B24:D24"/>
    <mergeCell ref="C25:D25"/>
    <mergeCell ref="C26:D26"/>
    <mergeCell ref="C27:D27"/>
    <mergeCell ref="C28:D28"/>
    <mergeCell ref="C29:D29"/>
    <mergeCell ref="C30:D30"/>
    <mergeCell ref="B32:D32"/>
    <mergeCell ref="B40:D40"/>
    <mergeCell ref="C41:D41"/>
    <mergeCell ref="C42:D42"/>
    <mergeCell ref="C43:D43"/>
    <mergeCell ref="C44:D44"/>
    <mergeCell ref="C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B5CF6"/>
    <pageSetUpPr fitToPage="false"/>
  </sheetPr>
  <dimension ref="B2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99"/>
    <col collapsed="false" customWidth="true" hidden="false" outlineLevel="0" max="2" min="2" style="0" width="35"/>
    <col collapsed="false" customWidth="true" hidden="false" outlineLevel="0" max="6" min="3" style="0" width="18"/>
  </cols>
  <sheetData>
    <row r="2" customFormat="false" ht="36" hidden="false" customHeight="true" outlineLevel="0" collapsed="false">
      <c r="B2" s="31" t="s">
        <v>536</v>
      </c>
      <c r="C2" s="31"/>
      <c r="D2" s="31"/>
      <c r="E2" s="31"/>
      <c r="F2" s="31"/>
    </row>
    <row r="4" customFormat="false" ht="15" hidden="false" customHeight="false" outlineLevel="0" collapsed="false">
      <c r="B4" s="32" t="s">
        <v>537</v>
      </c>
    </row>
    <row r="5" customFormat="false" ht="15" hidden="false" customHeight="false" outlineLevel="0" collapsed="false">
      <c r="B5" s="1" t="s">
        <v>3</v>
      </c>
      <c r="C5" s="1" t="s">
        <v>538</v>
      </c>
      <c r="D5" s="1" t="s">
        <v>539</v>
      </c>
    </row>
    <row r="6" customFormat="false" ht="15" hidden="false" customHeight="false" outlineLevel="0" collapsed="false">
      <c r="B6" s="4" t="s">
        <v>15</v>
      </c>
      <c r="C6" s="6" t="n">
        <v>4</v>
      </c>
      <c r="D6" s="33" t="n">
        <f aca="false">C6/SUM(C6:C9)</f>
        <v>0.266666666666667</v>
      </c>
    </row>
    <row r="7" customFormat="false" ht="15" hidden="false" customHeight="false" outlineLevel="0" collapsed="false">
      <c r="B7" s="8" t="s">
        <v>26</v>
      </c>
      <c r="C7" s="6" t="n">
        <v>5</v>
      </c>
      <c r="D7" s="33" t="n">
        <f aca="false">C7/SUM(C6:C9)</f>
        <v>0.333333333333333</v>
      </c>
    </row>
    <row r="8" customFormat="false" ht="15" hidden="false" customHeight="false" outlineLevel="0" collapsed="false">
      <c r="B8" s="9" t="s">
        <v>58</v>
      </c>
      <c r="C8" s="6" t="n">
        <v>4</v>
      </c>
      <c r="D8" s="33" t="n">
        <f aca="false">C8/SUM(C6:C9)</f>
        <v>0.266666666666667</v>
      </c>
    </row>
    <row r="9" customFormat="false" ht="15" hidden="false" customHeight="false" outlineLevel="0" collapsed="false">
      <c r="B9" s="34" t="s">
        <v>540</v>
      </c>
      <c r="C9" s="6" t="n">
        <v>2</v>
      </c>
      <c r="D9" s="33" t="n">
        <f aca="false">C9/SUM(C6:C9)</f>
        <v>0.133333333333333</v>
      </c>
    </row>
    <row r="12" customFormat="false" ht="15" hidden="false" customHeight="false" outlineLevel="0" collapsed="false">
      <c r="B12" s="32" t="s">
        <v>541</v>
      </c>
    </row>
    <row r="13" customFormat="false" ht="15" hidden="false" customHeight="false" outlineLevel="0" collapsed="false">
      <c r="B13" s="1" t="s">
        <v>2</v>
      </c>
      <c r="C13" s="1" t="s">
        <v>538</v>
      </c>
      <c r="D13" s="1" t="s">
        <v>539</v>
      </c>
    </row>
    <row r="14" customFormat="false" ht="15" hidden="false" customHeight="false" outlineLevel="0" collapsed="false">
      <c r="B14" s="35" t="s">
        <v>14</v>
      </c>
      <c r="C14" s="6" t="n">
        <v>3</v>
      </c>
      <c r="D14" s="33" t="n">
        <f aca="false">C14/SUM(C14:C20)</f>
        <v>0.214285714285714</v>
      </c>
    </row>
    <row r="15" customFormat="false" ht="15" hidden="false" customHeight="false" outlineLevel="0" collapsed="false">
      <c r="B15" s="35" t="s">
        <v>34</v>
      </c>
      <c r="C15" s="6" t="n">
        <v>3</v>
      </c>
      <c r="D15" s="33" t="n">
        <f aca="false">C15/SUM(C14:C20)</f>
        <v>0.214285714285714</v>
      </c>
    </row>
    <row r="16" customFormat="false" ht="15" hidden="false" customHeight="false" outlineLevel="0" collapsed="false">
      <c r="B16" s="35" t="s">
        <v>25</v>
      </c>
      <c r="C16" s="6" t="n">
        <v>3</v>
      </c>
      <c r="D16" s="33" t="n">
        <f aca="false">C16/SUM(C14:C20)</f>
        <v>0.214285714285714</v>
      </c>
    </row>
    <row r="17" customFormat="false" ht="15" hidden="false" customHeight="false" outlineLevel="0" collapsed="false">
      <c r="B17" s="35" t="s">
        <v>42</v>
      </c>
      <c r="C17" s="6" t="n">
        <v>2</v>
      </c>
      <c r="D17" s="33" t="n">
        <f aca="false">C17/SUM(C14:C20)</f>
        <v>0.142857142857143</v>
      </c>
    </row>
    <row r="18" customFormat="false" ht="15" hidden="false" customHeight="false" outlineLevel="0" collapsed="false">
      <c r="B18" s="35" t="s">
        <v>50</v>
      </c>
      <c r="C18" s="6" t="n">
        <v>1</v>
      </c>
      <c r="D18" s="33" t="n">
        <f aca="false">C18/SUM(C14:C20)</f>
        <v>0.0714285714285714</v>
      </c>
    </row>
    <row r="19" customFormat="false" ht="15" hidden="false" customHeight="false" outlineLevel="0" collapsed="false">
      <c r="B19" s="35" t="s">
        <v>106</v>
      </c>
      <c r="C19" s="6" t="n">
        <v>1</v>
      </c>
      <c r="D19" s="33" t="n">
        <f aca="false">C19/SUM(C14:C20)</f>
        <v>0.0714285714285714</v>
      </c>
    </row>
    <row r="20" customFormat="false" ht="15" hidden="false" customHeight="false" outlineLevel="0" collapsed="false">
      <c r="B20" s="35" t="s">
        <v>92</v>
      </c>
      <c r="C20" s="6" t="n">
        <v>1</v>
      </c>
      <c r="D20" s="33" t="n">
        <f aca="false">C20/SUM(C14:C20)</f>
        <v>0.0714285714285714</v>
      </c>
    </row>
    <row r="23" customFormat="false" ht="15" hidden="false" customHeight="false" outlineLevel="0" collapsed="false">
      <c r="B23" s="32" t="s">
        <v>542</v>
      </c>
    </row>
    <row r="24" customFormat="false" ht="15" hidden="false" customHeight="false" outlineLevel="0" collapsed="false">
      <c r="B24" s="1" t="s">
        <v>9</v>
      </c>
      <c r="C24" s="1" t="s">
        <v>538</v>
      </c>
      <c r="D24" s="1" t="s">
        <v>539</v>
      </c>
    </row>
    <row r="25" customFormat="false" ht="15" hidden="false" customHeight="false" outlineLevel="0" collapsed="false">
      <c r="B25" s="5" t="s">
        <v>21</v>
      </c>
      <c r="C25" s="6" t="n">
        <v>19</v>
      </c>
      <c r="D25" s="33" t="n">
        <f aca="false">C25/SUM(C25:C27)</f>
        <v>0.59375</v>
      </c>
    </row>
    <row r="26" customFormat="false" ht="15" hidden="false" customHeight="false" outlineLevel="0" collapsed="false">
      <c r="B26" s="10" t="s">
        <v>97</v>
      </c>
      <c r="C26" s="6" t="n">
        <v>6</v>
      </c>
      <c r="D26" s="33" t="n">
        <f aca="false">C26/SUM(C25:C27)</f>
        <v>0.1875</v>
      </c>
    </row>
    <row r="27" customFormat="false" ht="15" hidden="false" customHeight="false" outlineLevel="0" collapsed="false">
      <c r="B27" s="11" t="s">
        <v>117</v>
      </c>
      <c r="C27" s="6" t="n">
        <v>7</v>
      </c>
      <c r="D27" s="33" t="n">
        <f aca="false">C27/SUM(C25:C27)</f>
        <v>0.21875</v>
      </c>
    </row>
    <row r="30" customFormat="false" ht="15" hidden="false" customHeight="false" outlineLevel="0" collapsed="false">
      <c r="B30" s="32" t="s">
        <v>543</v>
      </c>
    </row>
    <row r="31" customFormat="false" ht="15" hidden="false" customHeight="false" outlineLevel="0" collapsed="false">
      <c r="B31" s="35" t="s">
        <v>544</v>
      </c>
      <c r="C31" s="36" t="n">
        <v>15</v>
      </c>
    </row>
    <row r="32" customFormat="false" ht="15" hidden="false" customHeight="false" outlineLevel="0" collapsed="false">
      <c r="B32" s="35" t="s">
        <v>545</v>
      </c>
      <c r="C32" s="36" t="n">
        <v>32</v>
      </c>
    </row>
    <row r="33" customFormat="false" ht="15" hidden="false" customHeight="false" outlineLevel="0" collapsed="false">
      <c r="B33" s="35" t="s">
        <v>546</v>
      </c>
      <c r="C33" s="36" t="n">
        <v>12.3</v>
      </c>
    </row>
    <row r="34" customFormat="false" ht="15" hidden="false" customHeight="false" outlineLevel="0" collapsed="false">
      <c r="B34" s="35" t="s">
        <v>547</v>
      </c>
      <c r="C34" s="36" t="n">
        <v>9</v>
      </c>
    </row>
    <row r="35" customFormat="false" ht="15" hidden="false" customHeight="false" outlineLevel="0" collapsed="false">
      <c r="B35" s="35" t="s">
        <v>548</v>
      </c>
      <c r="C35" s="36" t="n">
        <v>6</v>
      </c>
    </row>
    <row r="36" customFormat="false" ht="15" hidden="false" customHeight="false" outlineLevel="0" collapsed="false">
      <c r="B36" s="35" t="s">
        <v>549</v>
      </c>
      <c r="C36" s="36" t="s">
        <v>550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2026-02-10T07:19:21Z</dcterms:created>
  <dc:creator>openpyxl</dc:creator>
  <dc:description/>
  <dc:language>en-US</dc:language>
  <cp:lastModifiedBy/>
  <dcterms:modified xsi:type="dcterms:W3CDTF">2026-02-10T07:19:21Z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